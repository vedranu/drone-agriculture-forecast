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riteriji" sheetId="1" state="visible" r:id="rId3"/>
    <sheet name="Sažetak" sheetId="2" state="visible" r:id="rId4"/>
    <sheet name="Uzorak_100" sheetId="3" state="visible" r:id="rId5"/>
    <sheet name="Uzorak_50_rano" sheetId="4" state="visible" r:id="rId6"/>
    <sheet name="Osjetljivost_upita" sheetId="5" state="visible" r:id="rId7"/>
  </sheets>
  <definedNames>
    <definedName function="false" hidden="true" localSheetId="2" name="_xlnm._FilterDatabase" vbProcedure="false">Uzorak_100!$A$4:$N$104</definedName>
    <definedName function="false" hidden="true" localSheetId="3" name="_xlnm._FilterDatabase" vbProcedure="false">Uzorak_50_rano!$A$4:$N$54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<sst xmlns="http://schemas.openxmlformats.org/spreadsheetml/2006/main" count="1700" uniqueCount="978">
  <si>
    <t xml:space="preserve">Ručna provjera preciznosti upita D AND A (OpenAlex) — agrodronovi — kriteriji kodiranja</t>
  </si>
  <si>
    <t xml:space="preserve">Svaki zapis dobiva jednu od tri oznake:</t>
  </si>
  <si>
    <t xml:space="preserve">A — RELEVANTAN: zračna bespilotna letjelica (UAV/UAS/dron) je senzorska platforma, aplikator ili predmet rada, A primjena je poljoprivredna: usjevi, voćnjaci, vinogradi, travnjaci za stoku, stoka, poljoprivredno zemljište, prskanje/aplikacija, fenotipizacija, navodnjavanje, zaštita bilja, prinos; uključuje i pregledne radove o UAV-ima u poljoprivredi.</t>
  </si>
  <si>
    <t xml:space="preserve">B — GRANIČAN: UAV/dron jest prisutan, ali primjena nije poljoprivredna (mreže, upravljanje i navigacija, šumarstvo, rudarstvo, urbanizam, vojne primjene, dostava) ILI je UAV samo spomenut kao kontekst ili budući rad.</t>
  </si>
  <si>
    <t xml:space="preserve">C — NERELEVANTAN: nema zračne bespilotne letjelice („drone“ = trut, „UAS“ = Drosophila GAL4/UAS, ocjena urtikarije, sveučilišni akronim; „yield“ u nepoljoprivrednom smislu; radovi bez UAV pojma u naslovu/sažetku).</t>
  </si>
  <si>
    <t xml:space="preserve">Postupak: prijedlog oznake (stupac J) i obrazloženje (K) generirani su uz pomoć AI; konačnu ocjenu (L) neovisno dodjeljuje autor čitajući naslov i sažetak, a kod nedostupnog sažetka cijeli rad. Stupac N označava ostaje li zapis u ČISTOM upitu (D AND A NOT N, gdje N isključuje Drosophila/GAL4, pčele, medicinske akronime i sveučilišni naziv) — glavna serija rada je čisti upit, pa list „Sažetak“ računa preciznost samo za zapise s „da“; uzorak iz sirovog upita ograničen na čisti upit i dalje je slučajan uzorak čistog upita.</t>
  </si>
  <si>
    <t xml:space="preserve">Uzorci: (a) 100 slučajnih zapisa 2005.–2025. (OpenAlex sample=100, seed=20260828); (b) 50 slučajnih zapisa 2005.–2015. (seed=20260829). Dohvat 28. 8. 2026.</t>
  </si>
  <si>
    <t xml:space="preserve">Za rad se izvještava: preciznost P(A) i P(A ili B) čistog upita s Wilsonovim 95 % intervalom; test razlike ranog i cijelog uzorka; osjetljivost trenda na sirovi upit i na strogi upit bez ekoloških pojmova (list „Osjetljivost_upita“).</t>
  </si>
  <si>
    <t xml:space="preserve">Sažetak provjere preciznosti ČISTOG upita (samo zapisi s „da“ u stupcu N; sve formule)</t>
  </si>
  <si>
    <t xml:space="preserve">Uzorak A (2005.–2025.; od 100 sirovih zapisa oni u čistom upitu)</t>
  </si>
  <si>
    <t xml:space="preserve">n (ocijenjeno)</t>
  </si>
  <si>
    <t xml:space="preserve">A — relevantan</t>
  </si>
  <si>
    <t xml:space="preserve">B — graničan</t>
  </si>
  <si>
    <t xml:space="preserve">C — nerelevantan</t>
  </si>
  <si>
    <t xml:space="preserve">P(A) stroga preciznost</t>
  </si>
  <si>
    <t xml:space="preserve">P(A ili B) šira preciznost</t>
  </si>
  <si>
    <t xml:space="preserve">Wilson 95 % donja, P(A)</t>
  </si>
  <si>
    <t xml:space="preserve">Wilson 95 % gornja, P(A)</t>
  </si>
  <si>
    <t xml:space="preserve">Wilson 95 % donja, P(A∪B)</t>
  </si>
  <si>
    <t xml:space="preserve">Wilson 95 % gornja, P(A∪B)</t>
  </si>
  <si>
    <t xml:space="preserve">Uzorak B (2005.–2015.; od 50 sirovih zapisa oni u čistom upitu)</t>
  </si>
  <si>
    <t xml:space="preserve">Razlika P(A): uzorak B (rano) − uzorak A (cijelo razdoblje)</t>
  </si>
  <si>
    <t xml:space="preserve">razlika udjela</t>
  </si>
  <si>
    <t xml:space="preserve">z (dvoproporcijski test, združeni p)</t>
  </si>
  <si>
    <t xml:space="preserve">p (dvostrano)</t>
  </si>
  <si>
    <t xml:space="preserve">Tumačenje: p &lt; 0,05 → preciznost je u ranom razdoblju bila niža (više generičkih UAV inženjerskih radova koji poljoprivredu samo spominju); strogo poljoprivredna produkcija stoga raste još brže nego serija upita, a apsolutni brojevi su precijenjeni.</t>
  </si>
  <si>
    <t xml:space="preserve">Napomena: formule se odnose na stupac L (KONAČNA OCJENA) oba lista; prazne ćelije se ne broje.</t>
  </si>
  <si>
    <t xml:space="preserve">Uzorak A: 100 slučajnih zapisa sirovog upita, 2005.–2025. (seed 20260828)</t>
  </si>
  <si>
    <t xml:space="preserve">Žuti stupac = KONAČNA OCJENA (A/B/C), popunite ili potvrdite; prijedlog (AI) je samo pomoć.</t>
  </si>
  <si>
    <t xml:space="preserve">#</t>
  </si>
  <si>
    <t xml:space="preserve">Godina</t>
  </si>
  <si>
    <t xml:space="preserve">Naslov</t>
  </si>
  <si>
    <t xml:space="preserve">Časopis / izvor</t>
  </si>
  <si>
    <t xml:space="preserve">OpenAlex tema</t>
  </si>
  <si>
    <t xml:space="preserve">OpenAlex ID (poveznica)</t>
  </si>
  <si>
    <t xml:space="preserve">DOI</t>
  </si>
  <si>
    <t xml:space="preserve">UAV pojam</t>
  </si>
  <si>
    <t xml:space="preserve">Sažetak (skraćen)</t>
  </si>
  <si>
    <t xml:space="preserve">Prijedlog (AI)</t>
  </si>
  <si>
    <t xml:space="preserve">Obrazloženje prijedloga</t>
  </si>
  <si>
    <t xml:space="preserve">KONAČNA OCJENA</t>
  </si>
  <si>
    <t xml:space="preserve">Napomena ocjenjivača</t>
  </si>
  <si>
    <t xml:space="preserve">U čistom upitu (da/ne)</t>
  </si>
  <si>
    <t xml:space="preserve">Research on a UAV spray system combined with grid atomized droplets</t>
  </si>
  <si>
    <t xml:space="preserve">Frontiers in Plant Science</t>
  </si>
  <si>
    <t xml:space="preserve">Plant Surface Properties and Treatments</t>
  </si>
  <si>
    <t xml:space="preserve">https://openalex.org/W4390541202</t>
  </si>
  <si>
    <t xml:space="preserve">https://doi.org/10.3389/fpls.2023.1286332</t>
  </si>
  <si>
    <t xml:space="preserve">uav, uavs</t>
  </si>
  <si>
    <t xml:space="preserve">Backgrounds: UAVs for crop protection hold significant potential for application in mountainous orchard areas in China. However, certain issues pertaining to UAV spraying need to be addressed for further technological advancement, aimed at enhancing crop protection efficiency and reducing pesticide usage. These challenges include the potential for droplet drift, limited capacity for pesticide solution. Consequently, efforts are required to overcome these limitations and optimize UAV spraying technology. Methods: In order to balance high deposition and low drift in plant protection UAV spraying, this study proposes a plant protection UAV spraying method. In order to study the operational effe…</t>
  </si>
  <si>
    <t xml:space="preserve">A</t>
  </si>
  <si>
    <t xml:space="preserve">UAV sustav za prskanje, zaštita usjeva</t>
  </si>
  <si>
    <t xml:space="preserve">da</t>
  </si>
  <si>
    <t xml:space="preserve">Evolution of Deep Learning Approaches in UAV-Based Crop Leaf Disease Detection: A Web of Science Review</t>
  </si>
  <si>
    <t xml:space="preserve">Applied Sciences</t>
  </si>
  <si>
    <t xml:space="preserve">Smart Agriculture and AI</t>
  </si>
  <si>
    <t xml:space="preserve">https://openalex.org/W4414888839</t>
  </si>
  <si>
    <t xml:space="preserve">https://doi.org/10.3390/app151910778</t>
  </si>
  <si>
    <t xml:space="preserve">drone, uav, uavs, unmanned aerial</t>
  </si>
  <si>
    <t xml:space="preserve">The integration of unmanned aerial vehicles (UAVs) and deep learning (DL) has significantly advanced crop disease detection by enabling scalable, high-resolution, and near real-time monitoring within precision agriculture. This systematic review analyzes peer-reviewed literature indexed in the Web of Science Core Collection as articles or proceeding papers through 2024. The main selection criterion was combining “unmanned aerial vehicle*” OR “UAV” OR “drone” with “deep learning”, “agriculture” and “leaf disease” OR “crop disease”. Results show a marked surge in publications after 2019, with China, the United States, and India leading research contributions. Multirotor UAVs equipped with RGB …</t>
  </si>
  <si>
    <t xml:space="preserve">Pregled: detekcija bolesti lišća usjeva UAV-om</t>
  </si>
  <si>
    <t xml:space="preserve">An assessment of fertilizer spraying drones based on hesitancy fuzzy similarity measures for sustainable green development</t>
  </si>
  <si>
    <t xml:space="preserve">AIP Advances</t>
  </si>
  <si>
    <t xml:space="preserve">Multi-Criteria Decision Making</t>
  </si>
  <si>
    <t xml:space="preserve">https://openalex.org/W4391037627</t>
  </si>
  <si>
    <t xml:space="preserve">https://doi.org/10.1063/5.0177649</t>
  </si>
  <si>
    <t xml:space="preserve">drones</t>
  </si>
  <si>
    <t xml:space="preserve">This research proposes a new similarity measure on hesitancy fuzzy graphs. The similarity measures are crucial concepts to explore the closeness between fuzzy graphs. The available imprecise and inconsistent data were more effectively handled by fuzzy similarity measures and intuitionistic fuzzy similarity measures. With time in decision-making theory, a complex frame of the background that occurs cannot be specified entirely by these fuzzy graphs but generalized fuzzy graphs like the hesitancy fuzzy graph can handle such a situation efficiently. The applicability of Hesitancy Fuzzy Graph (HFG) attracted the researchers to generalize ranking order based on the working procedures I, II of Xu’…</t>
  </si>
  <si>
    <t xml:space="preserve">Ocjena dronova za prskanje gnojiva</t>
  </si>
  <si>
    <t xml:space="preserve">Estimation of Corn Leaf Area Index and Ground Cover With Vegetation Indices as a Result of Irrigation Dose</t>
  </si>
  <si>
    <t xml:space="preserve">Journal of Agricultural Science</t>
  </si>
  <si>
    <t xml:space="preserve">Leaf Properties and Growth Measurement</t>
  </si>
  <si>
    <t xml:space="preserve">https://openalex.org/W3104898804</t>
  </si>
  <si>
    <t xml:space="preserve">https://doi.org/10.5539/jas.v12n12p234</t>
  </si>
  <si>
    <t xml:space="preserve">drone, drones, unmanned aerial</t>
  </si>
  <si>
    <t xml:space="preserve">New technologies have been implemented in the agricultural sector to improve crop production and resource management including irrigation water. A three-year long project was conducted to determine whether vegetation indices (VIs) could be used to estimate the leaf area index (LAI) as well as the soil cover fraction (fc) at different crop growth stages in order to use these parameters in a future study concerning irrigation through drones. A low cost unmanned aerial vehicle (drone) and a multispectral camera were used to calculate different VIs of corn (Zea mays). The irrigation scheduling based on the FAO Penman-Monteith equation and the drip irrigation method were used. Three treatments we…</t>
  </si>
  <si>
    <t xml:space="preserve">LAI kukuruza dronom, navodnjavanje</t>
  </si>
  <si>
    <t xml:space="preserve">CADASTRAL WORKS OF AGRICULTURAL LAND IN THE REGION</t>
  </si>
  <si>
    <t xml:space="preserve">Moscow Economic Journal</t>
  </si>
  <si>
    <t xml:space="preserve">Regional Socio-Economic Development Trends</t>
  </si>
  <si>
    <t xml:space="preserve">https://openalex.org/W4405860565</t>
  </si>
  <si>
    <t xml:space="preserve">https://doi.org/10.55186/2413046x_2024_9_12_469</t>
  </si>
  <si>
    <t xml:space="preserve">uavs</t>
  </si>
  <si>
    <t xml:space="preserve">The article provides an analysis of cadastral works on agricultural lands in the region. For the purpose of the study, the data of agricultural lands, including municipal areas, are considered. An integrated approach and cadastral works using UAVs are considered. Based on the considered approaches, estimates of the effectiveness of cadastral works using UAVs are made. Methodologically, the scientific work is based on an analysis of the current state of cadastral works of agricultural lands, the dynamics of changes and an assessment of the state of cadastral works, a description of approaches to accelerating processes, including the economic costs of agriculture and an assessment of state sup…</t>
  </si>
  <si>
    <t xml:space="preserve">B</t>
  </si>
  <si>
    <t xml:space="preserve">Katastarski radovi na poljoprivrednom zemljištu UAV-om (izmjera)</t>
  </si>
  <si>
    <t xml:space="preserve">A BIRD'S-EYE VIEW OF PROTO-TEWA SUBSISTENCE AGRICULTURE: MAKING THE CASE FOR FLOODPLAIN FARMING IN THE OHKAY OWINGEH HOMELAND, NEW MEXICO</t>
  </si>
  <si>
    <t xml:space="preserve">American Antiquity</t>
  </si>
  <si>
    <t xml:space="preserve">Archaeology and ancient environmental studies</t>
  </si>
  <si>
    <t xml:space="preserve">https://openalex.org/W2610778016</t>
  </si>
  <si>
    <t xml:space="preserve">https://doi.org/10.1017/aaq.2017.3</t>
  </si>
  <si>
    <t xml:space="preserve">uav, unmanned aerial</t>
  </si>
  <si>
    <t xml:space="preserve">Previous research on agriculture in the American Southwest focuses overwhelmingly on archaeological survey methods to discern surface agricultural features, which, in combination with climatological, geological, and geographical variables, are used to create models about agricultural productivity in the past. However, with few exceptions, the role of floodplain irrigation and floodwater farming in ancestral Pueblo agriculture is generally downplayed in scholarly discourse. Using a variety of methods, including Unmanned Aerial Vehicles (UAV), satellite imagery, pedestrian survey, and supervised classification of remotely sensed imagery, we examine this issue through a consideration of how anc…</t>
  </si>
  <si>
    <t xml:space="preserve">Arheologija, UAV kao jedna od metoda</t>
  </si>
  <si>
    <t xml:space="preserve">Connectivity-aware UAV mobility in cellular networks: DRL path planning and predictive handover</t>
  </si>
  <si>
    <t xml:space="preserve">Ad Hoc Networks</t>
  </si>
  <si>
    <t xml:space="preserve">UAV Applications and Optimization</t>
  </si>
  <si>
    <t xml:space="preserve">https://openalex.org/W4413905115</t>
  </si>
  <si>
    <t xml:space="preserve">https://doi.org/10.1016/j.adhoc.2025.103999</t>
  </si>
  <si>
    <t xml:space="preserve">uav</t>
  </si>
  <si>
    <t xml:space="preserve">(sažetak nije dostupan — otvoriti poveznicu)</t>
  </si>
  <si>
    <t xml:space="preserve">UAV u mobilnim mrežama</t>
  </si>
  <si>
    <t xml:space="preserve">Combination of wavelet transform and singular value decomposition-based contrast enhancement technique for target detection in UAV reconnaissance thermal images</t>
  </si>
  <si>
    <t xml:space="preserve">Journal of Modern Optics</t>
  </si>
  <si>
    <t xml:space="preserve">Advanced Image Fusion Techniques</t>
  </si>
  <si>
    <t xml:space="preserve">https://openalex.org/W2907362082</t>
  </si>
  <si>
    <t xml:space="preserve">https://doi.org/10.1080/09500340.2018.1559949</t>
  </si>
  <si>
    <t xml:space="preserve">In Aerial surveillance, thermal images acquired by unmanned aerial vehicle (UAV) are greatly affected due to various external interferences, which results in a low contrast image. Widely used conventional contrast enhancement methods such as histogram equalization and dynamic range partitioning techniques suffer from severe brightness changes and reduced sharpness, which in turn fail to preserve the edge details of the image. Thus for efficient target detection, it is essential to develop effective thermal infrared image contrast and edge enhancement technique. In this paper, wavelet transform (WT) and singular value decomposition (SVD)-based image enhancement technique is attempted for the …</t>
  </si>
  <si>
    <t xml:space="preserve">Vojno izviđanje, termalne UAV snimke</t>
  </si>
  <si>
    <t xml:space="preserve">Photosynthetic and Canopy Trait Characterization in Soybean (Glycine max L.) Using Chlorophyll Fluorescence and UAV Imaging</t>
  </si>
  <si>
    <t xml:space="preserve">Agriculture</t>
  </si>
  <si>
    <t xml:space="preserve">Remote Sensing in Agriculture</t>
  </si>
  <si>
    <t xml:space="preserve">https://openalex.org/W7114927957</t>
  </si>
  <si>
    <t xml:space="preserve">https://doi.org/10.3390/agriculture15242576</t>
  </si>
  <si>
    <t xml:space="preserve">Photosynthesis (PS) is the cornerstone of crop productivity, directly influencing yield potential. Photosynthesis remains an underexploited target in soybean breeding, partly because field-based photosynthetic traits are difficult to measure at scale. Also, it is unclear which reproductive stage(s) provide the most informative physiological signals for yield. Few studies have evaluated soybean PS in elite germplasm under field conditions, and the integration of chlorophyll fluorescence (CF) with UAV imaging for PS traits remains largely unexplored. This study evaluated genotypic variation in photosynthetic and canopy traits among elite soybean germplasm across environments and developmental …</t>
  </si>
  <si>
    <t xml:space="preserve">Soja, fluorescencija klorofila i UAV snimanje</t>
  </si>
  <si>
    <t xml:space="preserve">Using Visible and Thermal Images by an Unmanned Aerial Vehicle to Monitor the Plant Water Status, Canopy Growth and Yield of Olive Trees (cvs. Frantoio and Leccino) under Different Irrigation Regimes</t>
  </si>
  <si>
    <t xml:space="preserve">Agronomy</t>
  </si>
  <si>
    <t xml:space="preserve">https://openalex.org/W4291414394</t>
  </si>
  <si>
    <t xml:space="preserve">https://doi.org/10.3390/agronomy12081904</t>
  </si>
  <si>
    <t xml:space="preserve">An efficient management of water relies on the correct estimation of tree water requirements and the accurate monitoring of tree water status and canopy growth. This study aims to test the suitability of visible and thermal images acquired by an unmanned aerial vehicle (UAV) for monitoring tree water status and canopy growth in an irrigation experiment. We used mature olive trees of two cultivars subjected to full irrigation, deficit irrigation (41–44% of full irrigation), or rainfed conditions. Deficit irrigation had limited or no effect on fruit and oil yield. There was a significant relationship between the remotely sensed crop water stress index derived from thermal images and the stem w…</t>
  </si>
  <si>
    <t xml:space="preserve">Masline, vodni status UAV-om</t>
  </si>
  <si>
    <t xml:space="preserve">Development of Methods for Top-Down Methane Emission Measurements of Oil and Gas Facilities in an Offshore Environment Using a Miniature Methane Spectrometer and Long-Endurance Uncrewed Aerial System</t>
  </si>
  <si>
    <t xml:space="preserve">SPE Production &amp; Operations</t>
  </si>
  <si>
    <t xml:space="preserve">Atmospheric and Environmental Gas Dynamics</t>
  </si>
  <si>
    <t xml:space="preserve">https://openalex.org/W4385628948</t>
  </si>
  <si>
    <t xml:space="preserve">https://doi.org/10.2118/206181-pa</t>
  </si>
  <si>
    <t xml:space="preserve">Summary With atmospheric methane concentrations rising and spurring increased social concern, there is a renewed focus in the oil and gas industry on methane emission monitoring and control. In 2019, a methane emission survey at a bp asset west of Shetland was conducted using a closed-cavity methane spectrometer mounted onboard a long-endurance fixed-wing uncrewed aerial vehicle (UAV). This flight represents the first methane emissions survey of an offshore facility with a miniature methane spectrometer onboard a UAV with subsequent flights performed. A small laser spectrometer was modified from an open-cavity system to a closed-cavity onboard the aircraft and yielded in-flight detection lim…</t>
  </si>
  <si>
    <t xml:space="preserve">Emisije metana s platforme, UAV (nije poljoprivreda)</t>
  </si>
  <si>
    <t xml:space="preserve">Quantifying lower crop radiation availability in strip intercropping systems via UAV-derived canopy structural models</t>
  </si>
  <si>
    <t xml:space="preserve">Computers and Electronics in Agriculture</t>
  </si>
  <si>
    <t xml:space="preserve">Greenhouse Technology and Climate Control</t>
  </si>
  <si>
    <t xml:space="preserve">https://openalex.org/W4405198954</t>
  </si>
  <si>
    <t xml:space="preserve">https://doi.org/10.1016/j.compag.2024.109691</t>
  </si>
  <si>
    <t xml:space="preserve">• UAV-derived canopy model quantified radiation availability of intercropped soybean. • Shadow fraction method was developed to calculate direct, diffuse radiation and RUE. • RUE of intercropped soybean was higher than that in monoculture. • Fraction of diffuse in intercropping was slightly lower than that in monoculture. • Other factors leading to the higher RUE of soybean in intercropping systems. Shading is an unavoidable phenomenon in strip intercropping systems for lower crops, which affects the amount and component of solar radiation, and thus the radiation use efficiency (RUE). The higher crop is usually treated as a homogeneous block instead of the actual canopy structure to calculat…</t>
  </si>
  <si>
    <t xml:space="preserve">Međuusjevi, UAV model krošnje</t>
  </si>
  <si>
    <t xml:space="preserve">UAV-Based Phenotyping: A Non-Destructive Approach to Studying Wheat Growth Patterns for Crop Improvement and Breeding Programs</t>
  </si>
  <si>
    <t xml:space="preserve">Remote Sensing</t>
  </si>
  <si>
    <t xml:space="preserve">Wheat and Barley Genetics and Pathology</t>
  </si>
  <si>
    <t xml:space="preserve">https://openalex.org/W4403191573</t>
  </si>
  <si>
    <t xml:space="preserve">https://doi.org/10.3390/rs16193710</t>
  </si>
  <si>
    <t xml:space="preserve">Rising food demands require new techniques to achieve higher genetic gains for crop production, especially in regions where climate can negatively affect agriculture. Wheat is a staple crop that often encounters this challenge, and ideotype breeding with optimized canopy traits for grain yield, such as determinate tillering, synchronized flowering, and stay-green (SG), can potentially improve yield under terminal drought conditions. Among these traits, SG has emerged as a key factor for improving grain quality and yield by prolonging photosynthetic activity during reproductive stages. This study aims to highlight the importance of growth dynamics in a wheat mapping population by using multis…</t>
  </si>
  <si>
    <t xml:space="preserve">Fenotipizacija pšenice UAV-om</t>
  </si>
  <si>
    <t xml:space="preserve">The effect of natural farming system on growth parameters of foxtail millet in comparison to conventional and organic production systems</t>
  </si>
  <si>
    <t xml:space="preserve">International Journal of Research in Agronomy</t>
  </si>
  <si>
    <t xml:space="preserve">Agricultural Systems and Practices</t>
  </si>
  <si>
    <t xml:space="preserve">https://openalex.org/W7117823812</t>
  </si>
  <si>
    <t xml:space="preserve">https://doi.org/10.33545/2618060x.2025.v8.i12sg.4523</t>
  </si>
  <si>
    <t xml:space="preserve">uas</t>
  </si>
  <si>
    <t xml:space="preserve">A field experiment was conducted at RIOF, UAS, GKVK, Bengaluru during kharif 2022 and summer 2023 in foxtail millet to study the natural farming practices in comparison to organic farming practices, package developed from UAS Bangalore (UASB, POP) and absolute control. The experiment was laid out in RCBD design and replicated five times. The experiment consisted of 35 treatments (T1: Absolute control, T2: Organic production system, T3: Natural farming practice T4: Natural farming+ FYM on N equivalent basis, T5: combination of natural farming and organic farming practices, T6: Farmers practice and T7: UASB POP. Among the various farming practices significantly higher plant height height (77.2…</t>
  </si>
  <si>
    <t xml:space="preserve">C</t>
  </si>
  <si>
    <t xml:space="preserve">„UAS“ = University of Agricultural Sciences</t>
  </si>
  <si>
    <t xml:space="preserve">Evaluating the Performance of Winter Wheat Under Late Sowing Using UAV Multispectral Data</t>
  </si>
  <si>
    <t xml:space="preserve">https://openalex.org/W4415138409</t>
  </si>
  <si>
    <t xml:space="preserve">https://doi.org/10.3390/agronomy15102384</t>
  </si>
  <si>
    <t xml:space="preserve">In the lower and middle sections of the Yangtze River Basin Region (YRBR) in China, challenges posed by climate change and delayed harvesting of preceding crops have hindered the timely sowing of wheat, leading to an increasing prevalence of late-sown wheat fields. This trend has emerged as a significant impediment to achieving high and stable production of wheat in this area. During the growing seasons of 2022–2023 and 2023–2024, an unmanned aerial vehicle (UAV)-based multispectral camera was used to monitor different wheat materials at various growth stages under normal sowing treatment (M1) and late sowing with increased plant density (M2). By assessing yield loss, the wheat tolerance to …</t>
  </si>
  <si>
    <t xml:space="preserve">Ozima pšenica, UAV multispektralno</t>
  </si>
  <si>
    <t xml:space="preserve">Rose Leaf Diseases Detection Using Convolutional Neural Networks with Texture-Based Patch-Wise Selection</t>
  </si>
  <si>
    <t xml:space="preserve">DÜMF Mühendislik Dergisi</t>
  </si>
  <si>
    <t xml:space="preserve">https://openalex.org/W7117541286</t>
  </si>
  <si>
    <t xml:space="preserve">https://doi.org/10.24012/dumf.1771419</t>
  </si>
  <si>
    <t xml:space="preserve">In agricultural, early detection of leaf diseases enables control targeted at less chemical input, environmental impact, and expense. Towards this end, the see-and-spray strategy has been sought more intensely in recent decades in applications such as spot/precision spraying and UAV-based treatments. Because roses are converted into high-value medicinal and aromatic products, early identification of leaf diseases prevents quality losses and yield reductions, allowing selective pesticide application and timely intervention. In turn, this optimizes input use and lowers production costs. Convolutional neural networks (CNNs) are widely used for leaf disease detection; however, resizing images to…</t>
  </si>
  <si>
    <t xml:space="preserve">Bolesti ruže, CNN; UAV samo spomenut</t>
  </si>
  <si>
    <t xml:space="preserve">Modeling of the control logic of a UASS based on coefficient of variation spraying distribution analysis in an indoor flight simulator</t>
  </si>
  <si>
    <t xml:space="preserve">https://openalex.org/W4386026715</t>
  </si>
  <si>
    <t xml:space="preserve">https://doi.org/10.3389/fpls.2023.1235548</t>
  </si>
  <si>
    <t xml:space="preserve">unmanned aerial</t>
  </si>
  <si>
    <t xml:space="preserve">Introduction: In the past decade, unmanned aerial spraying systems (UASS) have emerged as an effective crop treatment platform option, competing with other ground vehicle treatments. The development of this platform has provided an effective spraying system that can be used on all crop types and in all weather conditions. However, related research has not been able to develop a UASS that can be operated in windy conditions with a low drift percentage. Methods: In this research, spraying was simulated in an indoor flight simulator by considering flight speed, altitude, wind speed, wind direction, rotor rotation, interval, spraying pattern, and nozzle type, which were used as the parameters af…</t>
  </si>
  <si>
    <t xml:space="preserve">UASS – bespilotni sustav prskanja</t>
  </si>
  <si>
    <t xml:space="preserve">Multi-source plume tracing via multi-agent reinforcement learning under common UAV-faults</t>
  </si>
  <si>
    <t xml:space="preserve">Machine Learning with Applications</t>
  </si>
  <si>
    <t xml:space="preserve">Anomaly Detection Techniques and Applications</t>
  </si>
  <si>
    <t xml:space="preserve">https://openalex.org/W4414937575</t>
  </si>
  <si>
    <t xml:space="preserve">https://doi.org/10.1016/j.mlwa.2025.100737</t>
  </si>
  <si>
    <t xml:space="preserve">Hazardous airborne gas releases from accidents, leaks, or wildfires require rapid localization of emission sources under uncertain and turbulent conditions. Traditional gradient-based or biologically inspired strategies struggle in multi-source environments where odor cues are intermittent, aliased, and partially observed. We address this challenge by formulating multi-source plume tracing in three-dimensional fields as a cooperative partially observable Markov game. To solve it, we introduce an Action-Specific Double Deep Recurrent Q-Network (ADDRQN) that conditions on action–observation pairs to improve latent-state inference, and integrates teammate information through a permutation-invar…</t>
  </si>
  <si>
    <t xml:space="preserve">Praćenje perjanice plina, UAV kvarovi</t>
  </si>
  <si>
    <t xml:space="preserve">Analysis of changes in rice yield components and vegetation indices in response to lodging timing during the grain-filling stage, lodging severity, and nitrogen fertilization</t>
  </si>
  <si>
    <t xml:space="preserve">Journal of Crop Science and Biotechnology</t>
  </si>
  <si>
    <t xml:space="preserve">Crop Yield and Soil Fertility</t>
  </si>
  <si>
    <t xml:space="preserve">https://openalex.org/W4415724199</t>
  </si>
  <si>
    <t xml:space="preserve">https://doi.org/10.1007/s12892-025-00313-3</t>
  </si>
  <si>
    <t xml:space="preserve">(nije u naslovu/sažetku)</t>
  </si>
  <si>
    <t xml:space="preserve">Nema UAV pojma (polijeganje riže)</t>
  </si>
  <si>
    <t xml:space="preserve">Estimación de la evapotranspiración con fines de riego en tiempo real de un olivar a partir de imágenes de un drone en zonas áridas, caso La Yarada, Tacna, Perú</t>
  </si>
  <si>
    <t xml:space="preserve">Idesia</t>
  </si>
  <si>
    <t xml:space="preserve">Environmental and Ecological Studies</t>
  </si>
  <si>
    <t xml:space="preserve">https://openalex.org/W4312829318</t>
  </si>
  <si>
    <t xml:space="preserve">https://doi.org/10.4067/s0718-34292022000200055</t>
  </si>
  <si>
    <t xml:space="preserve">drone, rpas, remotely piloted aircraft</t>
  </si>
  <si>
    <t xml:space="preserve">ABSTRACT: In the present study, remote sensing techniques are used using a Remotely Piloted Aircraft System (RPAS) to estimate crop evapotranspiration (ETc) in olive trees (Olea europaea L.) on the southern coast of Peru. The objective of the experiment was to estimate the evapotranspiration of the olive cultivation by means of the METRIC model, from multispectral and thermal images taken from an RPAS, after vicarious calibration with different types of bodies in the field and using spectroradiometer and portable radiometer. Mean values for ETc were obtained between 2.86 and 2.94 mm dr 1 , 4.02 mm d -1 in winter (flowering) and 4.53 mm d- 1 in summer (fruiting); and ETrF values, in the range…</t>
  </si>
  <si>
    <t xml:space="preserve">Evapotranspiracija maslinika dronom</t>
  </si>
  <si>
    <t xml:space="preserve">Detecting Plant Diseases Using Machine Learning Models</t>
  </si>
  <si>
    <t xml:space="preserve">Sustainability</t>
  </si>
  <si>
    <t xml:space="preserve">https://openalex.org/W4405832294</t>
  </si>
  <si>
    <t xml:space="preserve">https://doi.org/10.3390/su17010132</t>
  </si>
  <si>
    <t xml:space="preserve">drone</t>
  </si>
  <si>
    <t xml:space="preserve">Sustainable agriculture is pivotal to global food security and economic stability, with plant disease detection being a key challenge to ensuring healthy crop production. The early and accurate identification of plant diseases can significantly enhance agricultural practices, minimize crop losses, and reduce the environmental impacts. This paper presents an innovative approach to sustainable development by leveraging machine learning models to detect plant diseases, focusing on tomato crops—a vital and globally significant agricultural product. Advanced object detection models including YOLOv8 (minor and nano variants), Roboflow 3.0 (Fast), EfficientDetV2 (with EfficientNetB0 backbone), and …</t>
  </si>
  <si>
    <t xml:space="preserve">Bolesti biljaka ML; dronovi kao buduća integracija</t>
  </si>
  <si>
    <t xml:space="preserve">Integration of remote‐weed mapping and an autonomous spraying unmanned aerial vehicle for site‐specific weed management</t>
  </si>
  <si>
    <t xml:space="preserve">Pest Management Science</t>
  </si>
  <si>
    <t xml:space="preserve">https://openalex.org/W2980753708</t>
  </si>
  <si>
    <t xml:space="preserve">https://doi.org/10.1002/ps.5651</t>
  </si>
  <si>
    <t xml:space="preserve">uav, uavs, unmanned aerial</t>
  </si>
  <si>
    <t xml:space="preserve">BACKGROUND: Unmanned aerial vehicles (UAVs) have been used in agriculture to collect imagery for crop and pest monitoring, and for decision-making purposes. Spraying-capable UAVs are now commercially available worldwide for agricultural applications. Combining UAV weed mapping and UAV sprayers into an UAV integrated system (UAV-IS) can offer a new alternative to implement site-specific pest management. RESULTS: The UAV-IS was 0.3- to 3-fold more efficient at identifying and treating target weedy areas, while minimizing treatment on non-weedy areas, than ground-based broadcast applications. The UAV-IS treated 20-60% less area than ground-based broadcast applications, but also missed up to 26%…</t>
  </si>
  <si>
    <t xml:space="preserve">Kartiranje korova + UAV prskanje</t>
  </si>
  <si>
    <t xml:space="preserve">The Role of AI in Transforming Local Economies: Exploring How AI Technologies Are Impacting Local Businesses and Labor Markets</t>
  </si>
  <si>
    <t xml:space="preserve">Applied and Computational Engineering</t>
  </si>
  <si>
    <t xml:space="preserve">COVID-19 Pandemic Impacts</t>
  </si>
  <si>
    <t xml:space="preserve">https://openalex.org/W4404459725</t>
  </si>
  <si>
    <t xml:space="preserve">https://doi.org/10.54254/2755-2721/108/2025ld0053</t>
  </si>
  <si>
    <t xml:space="preserve">AI is emerging as a key disruptor of local economies. The impact of AI technologies including machine learning, automation and precision farming in reshaping local business landscape, unlocking innovation, enhancing productivity and creating net new jobs, is yet to be fully appreciated. This paper provides an analysis of the role of AI in revitalising local economies: how AI technologies are enabling small and medium sized enterprises (SME) to improve productivity, how rural economies can overcome labour shortages and supply chain issues and how to realise AI’s transformative potential in the near term. It goes on to discuss the impact of AI on labour markets, the creation of net new jobs in…</t>
  </si>
  <si>
    <t xml:space="preserve">AI i lokalna gospodarstva; „drone occupations“</t>
  </si>
  <si>
    <t xml:space="preserve">VNIR-SWIR Imaging Spectroscopy for Mining: Insights for Hyperspectral Drone Applications</t>
  </si>
  <si>
    <t xml:space="preserve">Mining</t>
  </si>
  <si>
    <t xml:space="preserve">Remote-Sensing Image Classification</t>
  </si>
  <si>
    <t xml:space="preserve">https://openalex.org/W4405071597</t>
  </si>
  <si>
    <t xml:space="preserve">https://doi.org/10.3390/mining4040057</t>
  </si>
  <si>
    <t xml:space="preserve">drone, drones, uas</t>
  </si>
  <si>
    <t xml:space="preserve">Hyperspectral imaging technology holds great potential for various stages of the mining life cycle, both in active and abandoned mines, from exploration to reclamation. The technology, however, has yet to achieve large-scale industrial implementation and acceptance. While hyperspectral satellite imagery yields high spectral resolution, a high signal-to-noise ratio (SNR), and global availability with breakthrough systems like EnMAP, EMIT, GaoFen-5, PRISMA, and Tanager-1, limited spatial and temporal resolution poses challenges for the mining sectors, which require decimetre-to-centimetre-scale spatial resolution for applications such as reconciliation and environmental monitoring and daily te…</t>
  </si>
  <si>
    <t xml:space="preserve">Hiperspektralni dron u rudarstvu</t>
  </si>
  <si>
    <t xml:space="preserve">Assessing the Potential of UAV-Based Multispectral and Thermal Data to Estimate Soil Water Content Using Geophysical Methods</t>
  </si>
  <si>
    <t xml:space="preserve">Remote Sensing and LiDAR Applications</t>
  </si>
  <si>
    <t xml:space="preserve">https://openalex.org/W4390175531</t>
  </si>
  <si>
    <t xml:space="preserve">https://doi.org/10.3390/rs16010061</t>
  </si>
  <si>
    <t xml:space="preserve">Knowledge of the soil water content (SWC) is important for many aspects of agriculture and must be monitored to maximize crop yield, efficiently use limited supplies of irrigation water, and ensure optimal nutrient management with minimal environmental impact. Single-location sensors are often used to monitor SWC, but a limited number of point measurements is insufficient to measure SWC across most fields since SWC is typically very heterogeneous. To overcome this difficulty, several researchers have used data acquired from unmanned aerial vehicles (UAVs) to predict the SWC by using machine learning on a limited number of point measurements acquired across a field. While useful, these method…</t>
  </si>
  <si>
    <t xml:space="preserve">Sadržaj vode u tlu UAV-om (poljoprivredno polje)</t>
  </si>
  <si>
    <t xml:space="preserve">Integrating drone multispectral and LiDAR data with machine learning: toward species-level biomass estimation in heterogeneous salt marsh vegetation</t>
  </si>
  <si>
    <t xml:space="preserve">Geo-spatial Information Science</t>
  </si>
  <si>
    <t xml:space="preserve">https://openalex.org/W4415709846</t>
  </si>
  <si>
    <t xml:space="preserve">https://doi.org/10.1080/10095020.2025.2574921</t>
  </si>
  <si>
    <t xml:space="preserve">Quantitative estimation and spatial mapping of aboveground biomass (AGB) for salt marsh vegetation are crucial for modeling biogeochemical cycles and assessing wetland carbon stocks. Remote sensing offers a noninvasive method for monitoring vegetation traits over large areas. However, a single technique often cannot simultaneously capture both spectral information and the vertical structure of vegetation, greatly hindering its capabilities in classifying and estimating AGB of salt marsh vegetation. This work introduces a machine learning and heterogeneous data-based approach for AGB estimation by integrating passive multispectral two-dimensional imagery and active light detection and ranging…</t>
  </si>
  <si>
    <t xml:space="preserve">Biomasa travnjaka, dron + LiDAR</t>
  </si>
  <si>
    <t xml:space="preserve">Synergistic Use of Sentinel-2 and UAV Multispectral Data to Improve and Optimize Viticulture Management</t>
  </si>
  <si>
    <t xml:space="preserve">Drones</t>
  </si>
  <si>
    <t xml:space="preserve">https://openalex.org/W4309740547</t>
  </si>
  <si>
    <t xml:space="preserve">https://doi.org/10.3390/drones6110366</t>
  </si>
  <si>
    <t xml:space="preserve">The increasing use of geospatial information from satellites and unmanned aerial vehicles (UAVs) has been contributing to significant growth in the availability of instruments and methodologies for data acquisition and analysis. For better management of vineyards (and most crops), it is crucial to access the spatial-temporal variability. This knowledge throughout the vegetative cycle of any crop is crucial for more efficient management, but in the specific case of viticulture, this knowledge is even more relevant. Some research studies have been carried out in recent years, exploiting the advantage of satellite and UAV data, used individually or in combination, for crop management purposes. …</t>
  </si>
  <si>
    <t xml:space="preserve">Vinogradarstvo, Sentinel-2 + UAV</t>
  </si>
  <si>
    <t xml:space="preserve">Emerging Trends in Food Security: The Critical Role of Artificial Intelligence in Agricultural Productivity Systems</t>
  </si>
  <si>
    <t xml:space="preserve">NIPES Journal of Science and Technology Research</t>
  </si>
  <si>
    <t xml:space="preserve">https://openalex.org/W7125598232</t>
  </si>
  <si>
    <t xml:space="preserve">https://doi.org/10.37933/nipes/7.4.2025.si256</t>
  </si>
  <si>
    <t xml:space="preserve">uavs, unmanned aerial</t>
  </si>
  <si>
    <t xml:space="preserve">Due to inefficiencies in production and distribution systems, resource constraints, and environmental degradation, traditional agricultural methods are becoming diminishingly capable and effective in addressing food security challenges. The most important global concern of the twenty-first century research is promoting food security even as the world's population grows, and climate actions increase. Agricultural productivity thrives on timely, optimum and acceptable weather elements. In response, Artificial intelligence has become a trending strategy and tool that uses cutting-edge technologies to improve food systems sustainability, productivity, and efficiency. To facilitate real-time farm…</t>
  </si>
  <si>
    <t xml:space="preserve">Pregled: AI u poljoprivredi, UAV za praćenje usjeva</t>
  </si>
  <si>
    <t xml:space="preserve">Deep Neural Networks and Transfer Learning for Food Crop Identification in UAV Images</t>
  </si>
  <si>
    <t xml:space="preserve">https://openalex.org/W3008279115</t>
  </si>
  <si>
    <t xml:space="preserve">https://doi.org/10.3390/drones4010007</t>
  </si>
  <si>
    <t xml:space="preserve">Accurate projections of seasonal agricultural output are essential for improving food security. However, the collection of agricultural information through seasonal agricultural surveys is often not timely enough to inform public and private stakeholders about crop status during the growing season. Acquiring timely and accurate crop estimates can be particularly challenging in countries with predominately smallholder farms because of the large number of small plots, intense intercropping, and high diversity of crop types. In this study, we used RGB images collected from unmanned aerial vehicles (UAVs) flown in Rwanda to develop a deep learning algorithm for identifying crop types, specifical…</t>
  </si>
  <si>
    <t xml:space="preserve">Identifikacija usjeva u UAV snimkama</t>
  </si>
  <si>
    <t xml:space="preserve">Monitoring Growth Status of Winter Oilseed Rape by NDVI and NDYI Derived from UAV-Based Red–Green–Blue Imagery</t>
  </si>
  <si>
    <t xml:space="preserve">https://openalex.org/W4296312479</t>
  </si>
  <si>
    <t xml:space="preserve">https://doi.org/10.3390/agronomy12092212</t>
  </si>
  <si>
    <t xml:space="preserve">The current study aimed to evaluate the potential of the normalized difference vegetation index (NDVI), and the normalized difference yellowness index (NDYI) derived from red–green–blue (RGB) imaging to monitor the growth status of winter oilseed rape from seeding to the ripening stage. Subsequently, collected values were used to evaluate their correlations with the yield of oilseed rape. Field trials with three seed densities and three nitrogen rates were conducted for two years in Salzdahlum, Germany. The images were rapidly taken by an unmanned aerial vehicle carrying a Micasense Altum multi-spectral camera at 25 m altitudes. The NDVI and NDYI values for each plot were calculated from the…</t>
  </si>
  <si>
    <t xml:space="preserve">Uljana repica, NDVI iz UAV RGB</t>
  </si>
  <si>
    <t xml:space="preserve">UAV Ad Hoc Network Routing Algorithms in Space–Air–Ground Integrated Networks: Challenges and Directions</t>
  </si>
  <si>
    <t xml:space="preserve">https://openalex.org/W4383535198</t>
  </si>
  <si>
    <t xml:space="preserve">https://doi.org/10.3390/drones7070448</t>
  </si>
  <si>
    <t xml:space="preserve">With the rapid development of 5G and 6G communications in recent years, there has been significant interest in space–air–ground integrated networks (SAGINs), which aim to achieve seamless all-area, all-time coverage. As a key component of SAGINs, flying ad hoc networks (FANETs) have been widely used in the agriculture and transportation sectors in recent years. Reliable communication in SAGINs requires efficient routing algorithms to support them. In this study, we analyze the unique communication architecture of FANETs in SAGINs. At the same time, existing routing protocols are presented and clustered. In addition, we review the latest research advances in routing algorithms over the last f…</t>
  </si>
  <si>
    <t xml:space="preserve">UAV ad hoc mreže</t>
  </si>
  <si>
    <t xml:space="preserve">Research on Fertilization Decision-Making Methods for Rice Tillering Stage Based on Multi-Source Remote Sensing Data</t>
  </si>
  <si>
    <t xml:space="preserve">Tsinghua Science &amp; Technology</t>
  </si>
  <si>
    <t xml:space="preserve">Remote Sensing and Land Use</t>
  </si>
  <si>
    <t xml:space="preserve">https://openalex.org/W4412946616</t>
  </si>
  <si>
    <t xml:space="preserve">https://doi.org/10.26599/tst.2025.9010124</t>
  </si>
  <si>
    <t xml:space="preserve">Nitrogen is a vital nutrient that affects rice growth and yield, playing a key role in photosynthesis, protein synthesis, and carbon-nitrogen metabolism. Effective fertilization decisions depend on nitrogen nutritional status. Traditional methods rely on field sampling and biomass measurement, which are inefficient and lack real-time data. This study proposes a nitrogen nutrition diagnosis method using UAV remote sensing technology combined with a critical nitrogen concentration dilution curve based on Leaf Area Index to guide fertilization during the rice tillering stage. UAV-acquired multi-source remote sensing data, including visible light and hyperspectral images, are used to construct L…</t>
  </si>
  <si>
    <t xml:space="preserve">Gnojidba riže, UAV daljinska detekcija</t>
  </si>
  <si>
    <t xml:space="preserve">RGB-D camera and graph neural network-based SLAM for dynamic and low-texture environments</t>
  </si>
  <si>
    <t xml:space="preserve">Scientific Reports</t>
  </si>
  <si>
    <t xml:space="preserve">Robotics and Sensor-Based Localization</t>
  </si>
  <si>
    <t xml:space="preserve">https://openalex.org/W4412848898</t>
  </si>
  <si>
    <t xml:space="preserve">https://doi.org/10.1038/s41598-025-12978-5</t>
  </si>
  <si>
    <t xml:space="preserve">Unmanned systems, such as UAVs, play critical roles in various sectors, including agriculture, logistics, and military applications. The operational effectiveness of unmanned systems in GPS-denied environments, particularly in complex terrains such as subterranean structures and narrow canyons, faces significant technical constraints due to positioning inaccuracies. To address these challenges, this study proposes an enhanced SLAM framework integrating RGB-D sensing with a novel Depth-aware Point-Line Attentional Graph Neural Network (DPLAGNN). The core contributions include:(1)A feature fusion mechanism combining geometric primitives with attention-weighted descriptors;(2)Dynamic scene adap…</t>
  </si>
  <si>
    <t xml:space="preserve">SLAM; poljoprivreda samo spomenuta</t>
  </si>
  <si>
    <t xml:space="preserve">Marker-free coregistration of UAV and backpack LiDAR point clouds in forested areas</t>
  </si>
  <si>
    <t xml:space="preserve">ISPRS Journal of Photogrammetry and Remote Sensing</t>
  </si>
  <si>
    <t xml:space="preserve">https://openalex.org/W2905100780</t>
  </si>
  <si>
    <t xml:space="preserve">https://doi.org/10.1016/j.isprsjprs.2018.11.020</t>
  </si>
  <si>
    <t xml:space="preserve">Šumarstvo, UAV LiDAR</t>
  </si>
  <si>
    <t xml:space="preserve">PACNav: a collective navigation approach for UAV swarms deprived of communication and external localization</t>
  </si>
  <si>
    <t xml:space="preserve">Bioinspiration &amp; Biomimetics</t>
  </si>
  <si>
    <t xml:space="preserve">Distributed Control Multi-Agent Systems</t>
  </si>
  <si>
    <t xml:space="preserve">https://openalex.org/W4304112899</t>
  </si>
  <si>
    <t xml:space="preserve">https://doi.org/10.1088/1748-3190/ac98e6</t>
  </si>
  <si>
    <t xml:space="preserve">Abstract This article proposes Persistence Administered Collective Navigation (PACNav) as an approach for achieving the decentralized collective navigation of unmanned aerial vehicle (UAV) swarms. The technique is based on the flocking and collective navigation behavior observed in natural swarms, such as cattle herds, bird flocks, and even large groups of humans. As global and concurrent information of all swarm members is not available in natural swarms, these systems use local observations to achieve the desired behavior. Similarly, PACNav relies only on local observations of the relative positions of UAVs, making it suitable for large swarms deprived of communication capabilities and ext…</t>
  </si>
  <si>
    <t xml:space="preserve">Navigacija rojeva UAV-a</t>
  </si>
  <si>
    <t xml:space="preserve">YOLOTree-Individual Tree Spatial Positioning and Crown Volume Calculation Using UAV-RGB Imagery and LiDAR Data</t>
  </si>
  <si>
    <t xml:space="preserve">Forests</t>
  </si>
  <si>
    <t xml:space="preserve">https://openalex.org/W4401354339</t>
  </si>
  <si>
    <t xml:space="preserve">https://doi.org/10.3390/f15081375</t>
  </si>
  <si>
    <t xml:space="preserve">Individual tree canopy extraction plays an important role in downstream studies such as plant phenotyping, panoptic segmentation and growth monitoring. Canopy volume calculation is an essential part of these studies. However, existing volume calculation methods based on LiDAR or based on UAV-RGB imagery cannot balance accuracy and real-time performance. Thus, we propose a two-step individual tree volumetric modeling method: first, we use RGB remote sensing images to obtain the crown volume information, and then we use spatially aligned point cloud data to obtain the height information to automate the calculation of the crown volume. After introducing the point cloud information, our method o…</t>
  </si>
  <si>
    <t xml:space="preserve">Pojedinačna stabla, UAV (šumarstvo)</t>
  </si>
  <si>
    <t xml:space="preserve">Evaluation of Different IPM Modules against Green Semilooper (Thysanoplusia orichalcea Fab.) and Capitulum Borer (Helicoverpa armigera Hub.) of Sunflower</t>
  </si>
  <si>
    <t xml:space="preserve">Journal of Experimental Agriculture International</t>
  </si>
  <si>
    <t xml:space="preserve">Sunflower and Safflower Cultivation</t>
  </si>
  <si>
    <t xml:space="preserve">https://openalex.org/W4404433990</t>
  </si>
  <si>
    <t xml:space="preserve">https://doi.org/10.9734/jeai/2024/v46i113056</t>
  </si>
  <si>
    <t xml:space="preserve">During Khariff-2017 seven different IPM modules were evaluated against green semilooper, Thysanoplusia orichalcea Fab. and capitulum borer, Helicoverpa armigera Hub. infesting sunflower. of which spinosad based module (M5) (Seed treatment with imidacloprid 70 WS (5 g/kg) + metalaxyl 35 SD (5 g/kg) + hand picking &amp; destruction of gregarious early instar larvae of defoliators (Spodoptera litura Fab. and Spilarctia obliqua Walker) + 2 sprays of spinosad (50 and 70 DAS) found superior against major defoliator T. orichalcea Fab. at 3, 5 and 10 days after second spray and capitulum borer, H. armigera Hub. at 3, 5 and 10 days after first spray, followed by IPM module (UAS-B) (Seed treatment with im…</t>
  </si>
  <si>
    <t xml:space="preserve">„UAS-B“ = oznaka IPM modula</t>
  </si>
  <si>
    <t xml:space="preserve">Estimation of Evaporation and Drought Stress of Pistachio Plant Using UAV Multispectral Images and a Surface Energy Balance Approach</t>
  </si>
  <si>
    <t xml:space="preserve">Horticulturae</t>
  </si>
  <si>
    <t xml:space="preserve">Plant Water Relations and Carbon Dynamics</t>
  </si>
  <si>
    <t xml:space="preserve">https://openalex.org/W4396955019</t>
  </si>
  <si>
    <t xml:space="preserve">https://doi.org/10.3390/horticulturae10050515</t>
  </si>
  <si>
    <t xml:space="preserve">Water scarcity is a critical abiotic stress factor for plants in arid and semi-arid regions, impacting crop development and production yield and quality. Monitoring water stress at finer scales (e.g., farm and plant), requires multispectral imagery with thermal capabilities at centimeter resolution. This study investigates drought stress in pistachio trees in a farm located in Yazd province, Iran, by using Unmanned Aerial Vehicle (UAV) images to quantify evapotranspiration and assess drought stress in individual trees. Images were captured on 10 July 2022, using a Matrix 300 UAV with a MicaSense Altum multispectral sensor. By employing the Surface Energy Balance Algorithm for Land (SEBAL), a…</t>
  </si>
  <si>
    <t xml:space="preserve">Pistacija, suša, UAV multispektralno</t>
  </si>
  <si>
    <t xml:space="preserve">Integrating UAV-RGB Spectral Indices by Deep Learning Model Enables High-Precision Olive Tree Segmentation Under Small Sample</t>
  </si>
  <si>
    <t xml:space="preserve">https://openalex.org/W4410999635</t>
  </si>
  <si>
    <t xml:space="preserve">https://doi.org/10.3390/f16060924</t>
  </si>
  <si>
    <t xml:space="preserve">Accurate maps of olive plantations are very important to monitor and manage the rapid expansion of olive cultivation. Nevertheless, in situations where data samples are limited and the study area is relatively small, the low spatial resolution of satellite imagery poses challenges in accurately distinguishing olive trees from surrounding vegetation. This study presents an automated extraction model for the rapid and accurate identification of olive plantations using unmanned aerial vehicle RGB (UAV-RGB) imagery, multi-index combinations, and deep learning algorithm based on ENVI-Net5. The combined use of Lightness, Normalized Green-Blue Difference Index (NGBDI), and Modified Green-Blue Veget…</t>
  </si>
  <si>
    <t xml:space="preserve">Segmentacija maslina, UAV RGB</t>
  </si>
  <si>
    <t xml:space="preserve">Intercomparison of UAV, Aircraft and Satellite Remote Sensing Platforms for Precision Viticulture</t>
  </si>
  <si>
    <t xml:space="preserve">https://openalex.org/W1968314959</t>
  </si>
  <si>
    <t xml:space="preserve">https://doi.org/10.3390/rs70302971</t>
  </si>
  <si>
    <t xml:space="preserve">Precision Viticulture is experiencing substantial growth thanks to the availability of improved and cost-effective instruments and methodologies for data acquisition and analysis, such as Unmanned Aerial Vehicles (UAV), that demonstrated to compete with traditional acquisition platforms, such as satellite and aircraft, due to low operational costs, high operational flexibility and high spatial resolution of imagery. In order to optimize the use of these technologies for precision viticulture, their technical, scientific and economic performances need to be assessed. The aim of this work is to compare NDVI surveys performed with UAV, aircraft and satellite, to assess the capability of each pl…</t>
  </si>
  <si>
    <t xml:space="preserve">Precizno vinogradarstvo, UAV vs. avion vs. satelit</t>
  </si>
  <si>
    <t xml:space="preserve">AGRICULTURAL INNOVATION: THE IMPACT OF MODERN TECHNOLOGIES</t>
  </si>
  <si>
    <t xml:space="preserve">ShodhKosh Journal of Visual and Performing Arts</t>
  </si>
  <si>
    <t xml:space="preserve">Agricultural Development and Policies</t>
  </si>
  <si>
    <t xml:space="preserve">https://openalex.org/W4404440748</t>
  </si>
  <si>
    <t xml:space="preserve">https://doi.org/10.29121/shodhkosh.v5.i5.2024.2749</t>
  </si>
  <si>
    <t xml:space="preserve">Agricultural innovations and modern technologies have transformed the global agricultural landscape, contributing significantly to productivity, resource management, and environmental sustainability. This review paper analyzes techniques such as precision farming, biotechnology, drones, Internet of Things (IoT), biotechnology, sensor-based monitoring, climate-smart agriculture, and data analytics. These innovations have not only increased production but have also addressed accessibility for small farmers and socio-economic impacts. It also focuses on challenges like water management and food security. This paper provides a comprehensive overview of technological advancements and future prosp…</t>
  </si>
  <si>
    <t xml:space="preserve">Pregled poljoprivrednih inovacija uklj. dronove</t>
  </si>
  <si>
    <t xml:space="preserve">The Fat Body-Specific GST Gene SlGSTe11 Enhances the Tolerance of Spodoptera litura to Cyantraniliprole and Nicotine</t>
  </si>
  <si>
    <t xml:space="preserve">Journal of Agricultural and Food Chemistry</t>
  </si>
  <si>
    <t xml:space="preserve">Insect Resistance and Genetics</t>
  </si>
  <si>
    <t xml:space="preserve">https://openalex.org/W4402196816</t>
  </si>
  <si>
    <t xml:space="preserve">https://doi.org/10.1021/acs.jafc.4c05747</t>
  </si>
  <si>
    <t xml:space="preserve">Spodoptera litura is a significant agricultural pest, and its glutathione S -transferase (GST) plays a crucial role in insecticide resistance. This study aimed to investigate the relationship between the SlGSTe11 gene of S. litura and resistance to cyantraniliprole and nicotine. Transcriptome analysis revealed that SlGSTe11 is highly expressed mainly in fat bodies, with a significant increase in SlGSTe11 gene expression under induction by cyantraniliprole and nicotine. The ectopic expression of the SlGSTe11 gene in transgenic fruit flies resulted in a 5.22-fold increase in the tolerance to cyantraniliprole. Moreover, compared to the UAS- SlGSTe11 line, the Act5C-UAS&gt; SlGSTe11 line laid more …</t>
  </si>
  <si>
    <t xml:space="preserve">„UAS“ = Drosophila UAS-GAL4</t>
  </si>
  <si>
    <t xml:space="preserve">ne</t>
  </si>
  <si>
    <t xml:space="preserve">Damage Assessment Due to Wheat Lodging Using UAV-Based Multispectral and Thermal Imageries</t>
  </si>
  <si>
    <t xml:space="preserve">Journal of the Indian Society of Remote Sensing</t>
  </si>
  <si>
    <t xml:space="preserve">https://openalex.org/W4360826362</t>
  </si>
  <si>
    <t xml:space="preserve">https://doi.org/10.1007/s12524-023-01680-6</t>
  </si>
  <si>
    <t xml:space="preserve">Polijeganje pšenice, UAV</t>
  </si>
  <si>
    <t xml:space="preserve">Isolates of Fusarium graminearum collected 40–320 meters above ground level cause Fusarium head blight in wheat and produce trichothecene mycotoxins</t>
  </si>
  <si>
    <t xml:space="preserve">Aerobiologia</t>
  </si>
  <si>
    <t xml:space="preserve">Mycotoxins in Agriculture and Food</t>
  </si>
  <si>
    <t xml:space="preserve">https://openalex.org/W2136090914</t>
  </si>
  <si>
    <t xml:space="preserve">https://doi.org/10.1007/s10453-011-9206-2</t>
  </si>
  <si>
    <t xml:space="preserve">Fusarium uzorkovan UAV-om na 40–320 m (pojam nije u sažetku)</t>
  </si>
  <si>
    <t xml:space="preserve">Qualification of Soybean Responses to Flooding Stress Using UAV-Based Imagery and Deep Learning</t>
  </si>
  <si>
    <t xml:space="preserve">Plant Phenomics</t>
  </si>
  <si>
    <t xml:space="preserve">Plant responses to water stress</t>
  </si>
  <si>
    <t xml:space="preserve">https://openalex.org/W3174275103</t>
  </si>
  <si>
    <t xml:space="preserve">https://doi.org/10.34133/2021/9892570</t>
  </si>
  <si>
    <t xml:space="preserve">Soybean is sensitive to flooding stress that may result in poor seed quality and significant yield reduction. Soybean production under flooding could be sustained by developing flood-tolerant cultivars through breeding programs. Conventionally, soybean tolerance to flooding in field conditions is evaluated by visually rating the shoot injury/damage due to flooding stress, which is labor-intensive and subjective to human error. Recent developments of field high-throughput phenotyping technology have shown great potential in measuring crop traits and detecting crop responses to abiotic and biotic stresses. The goal of this study was to investigate the potential in estimating flood-induced soyb…</t>
  </si>
  <si>
    <t xml:space="preserve">Soja, stres poplave, UAV</t>
  </si>
  <si>
    <t xml:space="preserve">Continuous Plant-Based and Remote Sensing for Determination of Fruit Tree Water Status</t>
  </si>
  <si>
    <t xml:space="preserve">https://openalex.org/W4396955018</t>
  </si>
  <si>
    <t xml:space="preserve">https://doi.org/10.3390/horticulturae10050516</t>
  </si>
  <si>
    <t xml:space="preserve">Climate change poses significant challenges to agricultural productivity, making the efficient management of water resources essential for sustainable crop production. The assessment of plant water status is crucial for understanding plant physiological responses to water stress and optimizing water management practices in agriculture. Proximal and remote sensing techniques have emerged as powerful tools for the non-destructive, efficient, and spatially extensive monitoring of plant water status. This review aims to examine the recent advancements in proximal and remote sensing methodologies utilized for assessing the water status, consumption, and irrigation needs of fruit tree crops. Sever…</t>
  </si>
  <si>
    <t xml:space="preserve">Vodni status voćaka, dronske snimke</t>
  </si>
  <si>
    <t xml:space="preserve">Analysis of Plant Height Changes of Lodged Maize Using UAV-LiDAR Data</t>
  </si>
  <si>
    <t xml:space="preserve">https://openalex.org/W3023299871</t>
  </si>
  <si>
    <t xml:space="preserve">https://doi.org/10.3390/agriculture10050146</t>
  </si>
  <si>
    <t xml:space="preserve">Lodging stress seriously affects the yield, quality, and mechanical harvesting of maize, and is a major natural disaster causing maize yield reduction. The aim of this study was to obtain light detection and ranging (LiDAR) data of lodged maize using an unmanned aerial vehicle (UAV) equipped with a RIEGL VUX-1UAV sensor to analyze changes in the vertical structure of maize plants with different degrees of lodging, and thus to use plant height to quantitatively study maize lodging. Based on the UAV-LiDAR data, the height of the maize canopy was retrieved using a canopy height model to determine the height of the lodged maize canopy at different times. The profiles were analyzed to assess chan…</t>
  </si>
  <si>
    <t xml:space="preserve">Polegli kukuruz, UAV LiDAR</t>
  </si>
  <si>
    <t xml:space="preserve">A comparison of survey methods for monitoring crop damage by wild boar (Sus scrofa)</t>
  </si>
  <si>
    <t xml:space="preserve">Wildlife Ecology and Conservation</t>
  </si>
  <si>
    <t xml:space="preserve">https://openalex.org/W1023572571</t>
  </si>
  <si>
    <t xml:space="preserve">Abstract This paper compares three different survey methods for monitoring wild boar (Sus scrofa) damage to agricultural crops on the island of Morko, Sweden. The first method investigated was also the most conventional and involved walking through the fields on foot to locate and measure patches of wild boar damage. This method was compared to a second that involved the use of a remotely controlled aerial drone which took digital photographs of the fields. These photographs were then analyzed and observed damaged areas were recorded. The third method considered the theory that most wild boar damage to crops occurs on the edge of the fields, in order to determine if a relationship exists bet…</t>
  </si>
  <si>
    <t xml:space="preserve">Šteta divlje svinje na usjevima, dron</t>
  </si>
  <si>
    <t xml:space="preserve">Impact of Drone Spraying of Nutrients on Growth and Yield of Maize Crop</t>
  </si>
  <si>
    <t xml:space="preserve">International Journal of Environment and Climate Change</t>
  </si>
  <si>
    <t xml:space="preserve">https://openalex.org/W4285095462</t>
  </si>
  <si>
    <t xml:space="preserve">https://doi.org/10.9734/ijecc/2022/v12i1130972</t>
  </si>
  <si>
    <t xml:space="preserve">This study aimed at utilizing unmanned aerial vehicle in place of a conventional hand sprayer for the smart delivery of agricultural inputs especially crop nutrients. A field experiment was conducted in the farms of Agricultural Research Station, Bhavanisagar, Tamil Nadu Agricultural University. There were nine treatments which were replicated thrice in a randomized block design. The treatments include NPK 19:19:19 along with liquid micronutrient, humic acid, and TNAU Maize maxim at two intervals viz., 50% Tasselling, and Cob filling stage. These nutrients were applied as foliar spray through battery operated and fuel operated drones and were compared with knapsack hand sprayer. Biometric ob…</t>
  </si>
  <si>
    <t xml:space="preserve">Prskanje hraniva dronom, kukuruz</t>
  </si>
  <si>
    <t xml:space="preserve">Monitoring of peanut leaves chlorophyll content based on drone-based multispectral image feature extraction</t>
  </si>
  <si>
    <t xml:space="preserve">https://openalex.org/W3180151162</t>
  </si>
  <si>
    <t xml:space="preserve">https://doi.org/10.1016/j.compag.2021.106292</t>
  </si>
  <si>
    <t xml:space="preserve">Klorofil kikirikija, dron</t>
  </si>
  <si>
    <t xml:space="preserve">Use of unmanned aerial vehicle-derived multi-spectral data for the early detection of multi-temporal maize leaf equivalent water thickness and fuel moisture content for the improved resilience of smallholder maize farming</t>
  </si>
  <si>
    <t xml:space="preserve">Journal of Applied Remote Sensing</t>
  </si>
  <si>
    <t xml:space="preserve">https://openalex.org/W4392586286</t>
  </si>
  <si>
    <t xml:space="preserve">https://doi.org/10.1117/1.jrs.18.014520</t>
  </si>
  <si>
    <t xml:space="preserve">Maize water stress from rainfall variability is a key challenge in producing rain-fed maize farming, especially in water-scarce regions, such as southern Africa. Hence, quantifying maize foliar water content variations throughout the phenological stages is valuable in detecting smallholder maize moisture stress and supporting agricultural decision-making. The emergence of unmanned aerial vehicles (UAVs) equipped with multispectral sensors offers a unique opportunity for robust and rapid monitoring of maize foliar water content and stress. The combination of near-real-time spatially explicit information acquired using UAV imagery with physiological indicators, such as equivalent water thickne…</t>
  </si>
  <si>
    <t xml:space="preserve">Kukuruz, rana detekcija, UAV</t>
  </si>
  <si>
    <t xml:space="preserve">Improving Estimation of Winter Wheat Nitrogen Status Using Random Forest by Integrating Multi-Source Data Across Different Agro-Ecological Zones</t>
  </si>
  <si>
    <t xml:space="preserve">https://openalex.org/W4281656810</t>
  </si>
  <si>
    <t xml:space="preserve">https://doi.org/10.3389/fpls.2022.890892</t>
  </si>
  <si>
    <t xml:space="preserve">Timely and accurate estimation of plant nitrogen (N) status is crucial to the successful implementation of precision N management. It has been a great challenge to non-destructively estimate plant N status across different agro-ecological zones (AZs). The objective of this study was to use random forest regression (RFR) models together with multi-source data to improve the estimation of winter wheat ( Triticum aestivum L.) N status across two AZs. Fifteen site-year plot and farmers' field experiments involving different N rates and 19 cultivars were conducted in two AZs from 2015 to 2020. The results indicated that RFR models integrating climatic and management factors with vegetation index …</t>
  </si>
  <si>
    <t xml:space="preserve">Dušik u pšenici, UAV + satelit</t>
  </si>
  <si>
    <t xml:space="preserve">Dynamics of carbon stock and normalized difference vegetation index as indicators of oil palm (Elaeis guineensis Jacq.) productivity in peat ecosystem with compound NPK fertilizer application</t>
  </si>
  <si>
    <t xml:space="preserve">Journal of Ecological Engineering</t>
  </si>
  <si>
    <t xml:space="preserve">Oil Palm Production and Sustainability</t>
  </si>
  <si>
    <t xml:space="preserve">https://openalex.org/W4411542673</t>
  </si>
  <si>
    <t xml:space="preserve">https://doi.org/10.12911/22998993/205107</t>
  </si>
  <si>
    <t xml:space="preserve">This study investigated the dynamics of carbon stock and normalized difference vegetation index (NDVI) as indicators of oil palm (Elaeis guineensis Jacq.) productivity in peat ecosystems under varying applications of compound NPK fertilizer.Research was conducted in Benteng Hulu Village, Mempura District, Siak Regency, Riau Province, Indonesia, from March 2023 to April 2024 using mature oil palm plants (10-12 years old) grown on different peat depths.A nested plot design was employed with three peat depth categories (shallow: 1-2 m, moderate: 2-3 m, and deep: &gt; 3 m) as main plots and five Compound NPK fertilizer treatments (T0: control, T1: 75%, T2: 100%, T3: 125%, and T4: 150% of recommende…</t>
  </si>
  <si>
    <t xml:space="preserve">Uljna palma, UAV NDVI</t>
  </si>
  <si>
    <t xml:space="preserve">Near-optimal coverage trajectories for image mosaicing using a mini quad-rotor over irregular-shaped fields</t>
  </si>
  <si>
    <t xml:space="preserve">Precision Agriculture</t>
  </si>
  <si>
    <t xml:space="preserve">Robotic Path Planning Algorithms</t>
  </si>
  <si>
    <t xml:space="preserve">https://openalex.org/W2133808775</t>
  </si>
  <si>
    <t xml:space="preserve">https://doi.org/10.1007/s11119-012-9287-0</t>
  </si>
  <si>
    <t xml:space="preserve">Putanje mini kvadrotora za mozaik (generičko)</t>
  </si>
  <si>
    <t xml:space="preserve">GENETIC AND EVOLUTIONARY ANALYSIS OF PLANT REPLICATION PROTEIN A 1 (RPA1)</t>
  </si>
  <si>
    <t xml:space="preserve">University of New Hampshire Scholars Repository (University of New Hampshire at Manchester)</t>
  </si>
  <si>
    <t xml:space="preserve">DNA Repair Mechanisms</t>
  </si>
  <si>
    <t xml:space="preserve">https://openalex.org/W1165425494</t>
  </si>
  <si>
    <t xml:space="preserve">Challenging human health issues include treatments for genetic diseases and providing improved agricultural crop output to feed the growing world population. The project described here, which focuses on how cells respond to chromosomal (genomic) damage, has significant implications in each example. In humans, accumulation of DNA damage induced mutations can result in genetic diseases such as cancer, and in plants can similarly result in genome instability, reducing productivity. Organisms from human to plants have conserved mechanisms to counteract DNA damage. However, detailed genetic and biochemical information on plant DNA repair systems is still limited. The goal of this dissertation was…</t>
  </si>
  <si>
    <t xml:space="preserve">RPA1 protein</t>
  </si>
  <si>
    <t xml:space="preserve">Small and Oriented Wheat Spike Detection at the Filling and Maturity Stages Based on WheatNet</t>
  </si>
  <si>
    <t xml:space="preserve">https://openalex.org/W4387653126</t>
  </si>
  <si>
    <t xml:space="preserve">https://doi.org/10.34133/plantphenomics.0109</t>
  </si>
  <si>
    <t xml:space="preserve">Accurate wheat spike detection is crucial in wheat field phenotyping for precision farming. Advances in artificial intelligence have enabled deep learning models to improve the accuracy of detecting wheat spikes. However, wheat growth is a dynamic process characterized by important changes in the color feature of wheat spikes and the background. Existing models for wheat spike detection are typically designed for a specific growth stage. Their adaptability to other growth stages or field scenes is limited. Such models cannot detect wheat spikes accurately caused by the difference in color, size, and morphological features between growth stages. This paper proposes WheatNet to detect small an…</t>
  </si>
  <si>
    <t xml:space="preserve">Klasovi pšenice u dronskim snimkama</t>
  </si>
  <si>
    <r>
      <rPr>
        <sz val="10"/>
        <rFont val="Noto Sans CJK SC"/>
        <family val="2"/>
      </rPr>
      <t xml:space="preserve">イネの形質と </t>
    </r>
    <r>
      <rPr>
        <sz val="10"/>
        <rFont val="Arial"/>
        <family val="0"/>
        <charset val="1"/>
      </rPr>
      <t xml:space="preserve">UAV </t>
    </r>
    <r>
      <rPr>
        <sz val="10"/>
        <rFont val="Noto Sans CJK SC"/>
        <family val="2"/>
      </rPr>
      <t xml:space="preserve">リモートセンシングデータから計算されたカラー指標との比較</t>
    </r>
  </si>
  <si>
    <t xml:space="preserve">CGSPace A Repository of Agricultural Research Outputs (Consultative Group for International Agricultural Research)</t>
  </si>
  <si>
    <t xml:space="preserve">https://openalex.org/W2592285551</t>
  </si>
  <si>
    <t xml:space="preserve">https://doi.org/10.11450/seitaikogaku.29.11</t>
  </si>
  <si>
    <t xml:space="preserve">Remote sensing technology for monitoring plant trains has a huge potential to accelerate breeding process. In this paper, we have studied on remote sensing of using an unmanned aerial vehicle (UAV) system for plant traits phenotyping in rice. The images of rice canopy were taken by a RGB camera from the UAV at three growing stages; Vegetative (VG), Flowering (FW) and Grain filling (GF). Typical color indices (r, g, b, INT, VIG, L*, a*, b*, H) were calculated by image processing. Single regression analysis was conducted between rice plant traits (leaf area index (LAI), grain yield, above ground biomass, plant height, panicle length, grain filling rate, tiller number) and color indices. The in…</t>
  </si>
  <si>
    <t xml:space="preserve">Riža, UAV (japanski)</t>
  </si>
  <si>
    <t xml:space="preserve">Multisite and Multitemporal Grassland Yield Estimation Using UAV-Borne Hyperspectral Data</t>
  </si>
  <si>
    <t xml:space="preserve">https://openalex.org/W4224659716</t>
  </si>
  <si>
    <t xml:space="preserve">https://doi.org/10.3390/rs14092068</t>
  </si>
  <si>
    <t xml:space="preserve">Grassland ecosystems can be hotspots of biodiversity and act as carbon sinks while at the same time providing the basis of forage production for ruminants in dairy and meat production. Annual grassland dry matter yield (DMY) is one of the most important agronomic parameters reflecting differences in usage intensity such as number of harvests and fertilization. Current methods for grassland DMY estimation are labor-intensive and prone to error due to small sample size. With the advent of unmanned aerial vehicles (UAVs) and miniaturized hyperspectral sensors, a novel tool for remote sensing of grassland with high spatial, temporal and radiometric resolution and coverage is available. The prese…</t>
  </si>
  <si>
    <t xml:space="preserve">Prinos travnjaka, UAV hiperspektralno</t>
  </si>
  <si>
    <t xml:space="preserve">Transforming Agriculture through AI and Drone technique</t>
  </si>
  <si>
    <t xml:space="preserve">Agricultural Engineering Today</t>
  </si>
  <si>
    <t xml:space="preserve">https://openalex.org/W4410465179</t>
  </si>
  <si>
    <t xml:space="preserve">https://doi.org/10.52151/aet2022464.1602</t>
  </si>
  <si>
    <t xml:space="preserve">India is one of the major agricultural players in the world, 58% of its population is involved in agriculturerelated work and depends on it as a primary source of income. For decades, Agriculture has been a key focus of economists for the simple reason that it contributes to over 18% of the Indian GDP and provides livelihood to 700 million people in India. Over the course of time, India has achieved significant milestones in terms of global ranking in the production of food grains, milk and horticulture. However, the challenges of the Indian agriculture ecosystem remain the same as before because of fragmentation and inefficiency. Despite this, new innovations and technological intervention …</t>
  </si>
  <si>
    <t xml:space="preserve">Pregled: AI i dronovi u poljoprivredi</t>
  </si>
  <si>
    <t xml:space="preserve">Crop classification with UAV multispectral remote sensing, employing an enhanced ResNet50 residual network</t>
  </si>
  <si>
    <t xml:space="preserve">PLoS ONE</t>
  </si>
  <si>
    <t xml:space="preserve">https://openalex.org/W7117623597</t>
  </si>
  <si>
    <t xml:space="preserve">https://doi.org/10.1371/journal.pone.0339644</t>
  </si>
  <si>
    <t xml:space="preserve">The ResNet50 residual network model is characterized by its rapid training speed and high classification accuracy, demonstrating significant advantages in extracting and classifying crop features. However, the correlation and redundant information among different spectral bands in multispectral data can negatively affect classification accuracy. Additionally, the ResNet50 model does not meet the requirements for training with multi-band data, and its classification accuracy in small-scale, high-precision scenarios needs further improvement. This study focuses on flue-cured tobacco and maize to address these challenges, identifying the optimal classification band combination. Enhancements to …</t>
  </si>
  <si>
    <t xml:space="preserve">Klasifikacija usjeva UAV-om</t>
  </si>
  <si>
    <t xml:space="preserve">Heterogeneity Assessment of Kenaf Breeding Field through Spatial Dependence Analysis on Crop Growth Status Map Derived by Unmanned Aerial Vehicle</t>
  </si>
  <si>
    <t xml:space="preserve">Plants</t>
  </si>
  <si>
    <t xml:space="preserve">https://openalex.org/W4365514608</t>
  </si>
  <si>
    <t xml:space="preserve">https://doi.org/10.3390/plants12081638</t>
  </si>
  <si>
    <t xml:space="preserve">The investigation of quantitative phenotypic traits resulting from the interaction between targeted genotypic traits and environmental factors is essential for breeding selection. Therefore, plot-wise controlled environmental factors must be invariable for accurate identification of phenotypes. However, the assumption of homogeneous variables within the open-field is not always accepted, and requires a spatial dependence analysis to determine whether site-specific environmental factors exist. In this study, spatial dependence within the kenaf breeding field was assessed in a geo-tagged height map derived from an unmanned aerial vehicle (UAV). Local indicators of spatial autocorrelation (LISA…</t>
  </si>
  <si>
    <t xml:space="preserve">Kenaf, oplemenjivanje, UAV</t>
  </si>
  <si>
    <t xml:space="preserve">Spatio-temporal monitoring of cotton cultivation using ground-based and airborne multispectral sensors in GIS environment</t>
  </si>
  <si>
    <t xml:space="preserve">Environmental Monitoring and Assessment</t>
  </si>
  <si>
    <t xml:space="preserve">https://openalex.org/W2621510117</t>
  </si>
  <si>
    <t xml:space="preserve">https://doi.org/10.1007/s10661-017-6042-z</t>
  </si>
  <si>
    <t xml:space="preserve">Nema UAV pojma (airborne senzori)</t>
  </si>
  <si>
    <t xml:space="preserve">Gradient-Based Optimization of Terrestrial Cellular Networks for Aerial Highways</t>
  </si>
  <si>
    <t xml:space="preserve">IEEE Transactions on Vehicular Technology</t>
  </si>
  <si>
    <t xml:space="preserve">https://openalex.org/W4415743546</t>
  </si>
  <si>
    <t xml:space="preserve">https://doi.org/10.1109/tvt.2025.3627332</t>
  </si>
  <si>
    <t xml:space="preserve">Unmanned aerial vehicles (UAVs), owing to their ability to navigate 3D space and encounter line of sight (LoS) conditions, often experience high channel gains across multiple cells. This phenomena results in comparable signal power from various neighboring cells, causing significant interference and reduced signal-to-interference-plus-noise ratio (SINR), which complicates their integration into terrestrial networks. In this paper, we investigate how prior knowledge of planned aerial highways (AHs) can be leveraged by network operators to efficiently optimize their infrastructures for seamless UAV connectivity. In particular, we propose a gradient-based optimization algorithm to adjust the ve…</t>
  </si>
  <si>
    <t xml:space="preserve">Mobilne mreže za UAV koridore</t>
  </si>
  <si>
    <t xml:space="preserve">APW: An ensemble model for efficient wheat spike counting in unmanned aerial vehicle images</t>
  </si>
  <si>
    <t xml:space="preserve">https://openalex.org/W4400144873</t>
  </si>
  <si>
    <t xml:space="preserve">https://doi.org/10.1016/j.compag.2024.109204</t>
  </si>
  <si>
    <t xml:space="preserve">Brojanje klasova pšenice UAV</t>
  </si>
  <si>
    <t xml:space="preserve">Building responsive and resilient supply chains: Lessons from the COVID ‐19 disruption</t>
  </si>
  <si>
    <t xml:space="preserve">Journal of Operations Management</t>
  </si>
  <si>
    <t xml:space="preserve">Supply Chain Resilience and Risk Management</t>
  </si>
  <si>
    <t xml:space="preserve">https://openalex.org/W4365518480</t>
  </si>
  <si>
    <t xml:space="preserve">https://doi.org/10.1002/joom.1250</t>
  </si>
  <si>
    <t xml:space="preserve">Since the first case was identified, COVID-19 has spread to more than 200 countries. As of October 25, 2022, it had resulted in over 6 million deaths and 600 million confirmed cases. The rapid widespread of COVID-19 led to large-scale disruptions with major supply and demand shocks in supply chains, causing significant negative impacts on the global economy. The World Bank reported that the world GDP growth rate for 2020 was −3.27%, indicating the worst recession since 1961. First, the initial epidemic-control efforts blocked the flows of raw materials across the world, and limited labor movements by imposing temporary travel restrictions. As a result, many firms struggled with supply disrup…</t>
  </si>
  <si>
    <t xml:space="preserve">Opskrbni lanci; tvrtka Terra Drone</t>
  </si>
  <si>
    <t xml:space="preserve">Influence of nitrogen deficiency or excess on a root system structure of maize and triticale seedlings grown under low and high soil density</t>
  </si>
  <si>
    <t xml:space="preserve">Journal of Agronomy and Crop Science</t>
  </si>
  <si>
    <t xml:space="preserve">Plant nutrient uptake and metabolism</t>
  </si>
  <si>
    <t xml:space="preserve">https://openalex.org/W2767496368</t>
  </si>
  <si>
    <t xml:space="preserve">https://doi.org/10.1111/jac.12248</t>
  </si>
  <si>
    <t xml:space="preserve">Abstract Responses of maize and triticale seedlings, differing in the susceptibility to soil density stress, and grown under low (LD) or high (HD) soil density and poor (PN), high (HN) or control (CN) nitrogen content in soil were investigated in relation to changes in physiological parameters—dry matter of shoot (S), root (R), shoot to root ratio (S/R), relative growth ratio of shoot and root (RGR), chlorophyll content (SPAD), total roots number and length (TRN, TRL), root penetration ability (RPA) and ratio of deep rooting (RDR). The seedlings grown under high soil density (HD) and control N‐soil content (CN) in comparison with LD and CN treatments showed a decrease in all measured paramet…</t>
  </si>
  <si>
    <t xml:space="preserve">Nema UAV pojma (korijen kukuruza)</t>
  </si>
  <si>
    <t xml:space="preserve">Mapping radiation interception in row-structured orchards using 3D simulation and high-resolution airborne imagery acquired from a UAV</t>
  </si>
  <si>
    <t xml:space="preserve">https://openalex.org/W2017014841</t>
  </si>
  <si>
    <t xml:space="preserve">https://doi.org/10.1007/s11119-012-9263-8</t>
  </si>
  <si>
    <t xml:space="preserve">Voćnjaci, UAV snimke</t>
  </si>
  <si>
    <t xml:space="preserve">Estimation and Comparison of Tree Attributes in Young Forest Using Different Remote Sensing: Drone LiDAR, Aerial Photogrammetry, and Open Forest Data</t>
  </si>
  <si>
    <t xml:space="preserve">ETA Florence</t>
  </si>
  <si>
    <t xml:space="preserve">https://openalex.org/W3184071970</t>
  </si>
  <si>
    <t xml:space="preserve">https://doi.org/10.5071/29theubce2021-1cv.10.21</t>
  </si>
  <si>
    <t xml:space="preserve">drone, uav, unmanned aerial</t>
  </si>
  <si>
    <t xml:space="preserve">The biomass stored in young forests has enormous potential of energy to reduce fossils fuel consumption in Finland. Nowadays, accurate measurement and providing 3D information of the tree at a low cost is necessary to manage the growth and yield of the forest. Remote Sensing (RS) methods can replace the efficiency of traditional field-based forest inventory methods. The RS method using Unmanned Aerial Vehicle (UAV) Light Detection and Ranging (LiDAR) and Digital Aerial Photogrammetry (DAP) is now increasingly popular in forest inventory. This study utilized both individual tree detection method LiDAR and DAP and area-based approach (ABA) open forest data (OFD)from the Finnish forest centre t…</t>
  </si>
  <si>
    <t xml:space="preserve">Mlada šuma, dron LiDAR</t>
  </si>
  <si>
    <t xml:space="preserve">A decomposed fuzzy based fusion of decision-making and metaheuristic algorithm to select best unmanned aerial vehicle in agriculture 4.0 era</t>
  </si>
  <si>
    <t xml:space="preserve">Engineering Applications of Artificial Intelligence</t>
  </si>
  <si>
    <t xml:space="preserve">Advanced Manufacturing and Logistics Optimization</t>
  </si>
  <si>
    <t xml:space="preserve">https://openalex.org/W4411929363</t>
  </si>
  <si>
    <t xml:space="preserve">https://doi.org/10.1016/j.engappai.2025.111491</t>
  </si>
  <si>
    <t xml:space="preserve">Izbor UAV-a za poljoprivredu 4.0</t>
  </si>
  <si>
    <t xml:space="preserve">Using endothelial nitric oxide synthase gene polymorphisms to identify intracranial aneurysms more prone to rupture in Japanese patients</t>
  </si>
  <si>
    <t xml:space="preserve">Journal of neurosurgery</t>
  </si>
  <si>
    <t xml:space="preserve">Intracranial Aneurysms: Treatment and Complications</t>
  </si>
  <si>
    <t xml:space="preserve">https://openalex.org/W2045495014</t>
  </si>
  <si>
    <t xml:space="preserve">https://doi.org/10.3171/jns.2006.105.5.717</t>
  </si>
  <si>
    <t xml:space="preserve">OBJECT: Recent investigators found that the presence of three tandem polymorphisms of the endothelial nitric oxide synthase (eNOS) gene-promoter single nucleotide polymorphism (SNP) T-786C, intron-4 27-bp variable number of tandem repeats, and the G894T SNP in exon 7-was indicative of intracranial aneurysms more prone to rupture in a Caucasian patient sample. In the present study, the authors sought to determine whether the presence of these eNOS polymorphisms could indicate which Japanese patients with aneurysms were more endangered by a subarachnoid hemorrhage (SAH). METHODS: The three eNOS polymorphisms were genotyped in 297 patients with ruptured aneurysms (RAs), 108 patients with unrupt…</t>
  </si>
  <si>
    <t xml:space="preserve">„UAs“ = aneurizme</t>
  </si>
  <si>
    <t xml:space="preserve">Recent Advances in Unmanned Aerial Vehicles Forest Remote Sensing—A Systematic Review. Part II: Research Applications</t>
  </si>
  <si>
    <t xml:space="preserve">https://openalex.org/W3150615185</t>
  </si>
  <si>
    <t xml:space="preserve">https://doi.org/10.3390/f12040397</t>
  </si>
  <si>
    <t xml:space="preserve">Forest sustainable management aims to maintain the income of woody goods for companies, together with preserving non-productive functions as a benefit for the community. Due to the progress in platforms and sensors and the opening of the dedicated market, unmanned aerial vehicle–remote sensing (UAV–RS) is improving its key role in the forestry sector as a tool for sustainable management. The use of UAV (Unmanned Aerial Vehicle) in precision forestry has exponentially increased in recent years, as demonstrated by more than 600 references published from 2018 until mid-2020 that were found in the Web of Science database by searching for “UAV” + “forest”. This result is even more surprising when…</t>
  </si>
  <si>
    <t xml:space="preserve">Pregled UAV-a u šumarstvu</t>
  </si>
  <si>
    <t xml:space="preserve">Possibility theory: A foundation for theoretical and empirical explorations of uncertainty</t>
  </si>
  <si>
    <t xml:space="preserve">Complex Systems and Decision Making</t>
  </si>
  <si>
    <t xml:space="preserve">https://openalex.org/W4405264211</t>
  </si>
  <si>
    <t xml:space="preserve">https://doi.org/10.1002/joom.1341</t>
  </si>
  <si>
    <t xml:space="preserve">The field of operations and supply chain management (OSCM) has a long history of identifying and engaging with risk and uncertainty in operational practices.1 We provide a brief review of uncertainty in the OSCM domain, alongside an overview of our special issue (SI) call and accepted manuscripts. This serves as a starting point for the introduction of a new theoretical framework that reframes uncertainty as unresolved states of possibility. In this framework, the term possibility can refer to a broad array of OSCM actions and solutions including the novel application of existing approaches or technology as well as completely novel practices that enhance organizational outcomes. We illustrat…</t>
  </si>
  <si>
    <t xml:space="preserve">Teorija mogućnosti</t>
  </si>
  <si>
    <t xml:space="preserve">Revolutionizing Agricultural Machinery: The Role of AI, IoT, and Renewable Energy in Enhancing Efficiency and Sustainability</t>
  </si>
  <si>
    <t xml:space="preserve">International Journal of Scientific Research in Science and Technology</t>
  </si>
  <si>
    <t xml:space="preserve">Digitalization and Economic Development in Agriculture</t>
  </si>
  <si>
    <t xml:space="preserve">https://openalex.org/W4409428170</t>
  </si>
  <si>
    <t xml:space="preserve">https://doi.org/10.32628/ijsrst251222626</t>
  </si>
  <si>
    <t xml:space="preserve">Modern agriculture has seen tremendous development using AI, IoT, and renewable energy, enhancing efficiency and sustainability to tackle resource scarcity, climate change, and food security. AI enables precision farming through autonomous machinery and predictive analytics, optimizing soil health, crop yields, and pest control. IoT integrates sensors and drones to monitor soil moisture, weather, and equipment in real-time, cutting water use by 30% and improving fuel efficiency. Renewable solutions like solar irrigation, biofuels, and electric machinery reduce fossil fuel dependence, lowering emissions. Synergistically, AI optimizes energy use in solar-powered systems, while IoT devices, pow…</t>
  </si>
  <si>
    <t xml:space="preserve">Pregled: poljoprivredna mehanizacija, dronovi</t>
  </si>
  <si>
    <t xml:space="preserve">Integrating Image Processing Technology and Deep Learning to Identify Crops in UAV Orthoimages</t>
  </si>
  <si>
    <t xml:space="preserve">Computers, materials &amp; continua/Computers, materials &amp; continua (Print)</t>
  </si>
  <si>
    <t xml:space="preserve">https://openalex.org/W4407180634</t>
  </si>
  <si>
    <t xml:space="preserve">https://doi.org/10.32604/cmc.2025.059245</t>
  </si>
  <si>
    <t xml:space="preserve">This study aims to enhance automated crop detection using high-resolution Unmanned Aerial Vehicle (UAV) imagery by integrating the Visible Atmospherically Resistant Index (VARI) with deep learning models. The primary challeng... | Find, read and cite all the research you need on Tech Science Press</t>
  </si>
  <si>
    <t xml:space="preserve">Identifikacija usjeva u UAV ortosnimkama</t>
  </si>
  <si>
    <t xml:space="preserve">From pixels to peaks: integrating LiDAR and RGB drone imagery to map mussel spat on intertidal rocky shores</t>
  </si>
  <si>
    <t xml:space="preserve">Estuarine Coastal and Shelf Science</t>
  </si>
  <si>
    <t xml:space="preserve">https://openalex.org/W4417537437</t>
  </si>
  <si>
    <t xml:space="preserve">https://doi.org/10.1016/j.ecss.2025.109671</t>
  </si>
  <si>
    <t xml:space="preserve">Remote monitoring of the spatial cover of sessile intertidal species can provide important information for the conservation and management of commercial species. However, the use of high-resolution RGB imagery combined with topographic data acquired by Unmanned Aerial Vehicles (UAVs) to map rocky intertidal sessile invertebrates, particularly wild spat of Mytilus galloprovincialis , remains largely unexplored. Galicia (northwestern Spain) is the leading producer of farmed mussels in Europe, and most of mussel rafts are seeded with wild spat collected from intertidal rocks. Using a UAV equipped with an RGB camera and LiDAR sensor, we surveyed a rocky intertidal area in Galicia where mussel sp…</t>
  </si>
  <si>
    <t xml:space="preserve">Dagnje na obali, dron (ekologija/akvakultura)</t>
  </si>
  <si>
    <t xml:space="preserve">Enhanced Vineyard Descriptors combining UAV 2D and 3D Crop Models</t>
  </si>
  <si>
    <t xml:space="preserve">https://openalex.org/W2884335044</t>
  </si>
  <si>
    <t xml:space="preserve">Vinograd, UAV 2D/3D</t>
  </si>
  <si>
    <t xml:space="preserve">Assessing the effectiveness of filtering algorithms and semantic segmentation for photogrammetric UAV-derived digital terrain models in urban and sloped environments</t>
  </si>
  <si>
    <t xml:space="preserve">Survey Review</t>
  </si>
  <si>
    <t xml:space="preserve">3D Surveying and Cultural Heritage</t>
  </si>
  <si>
    <t xml:space="preserve">https://openalex.org/W4417055510</t>
  </si>
  <si>
    <t xml:space="preserve">https://doi.org/10.1080/00396265.2025.2596381</t>
  </si>
  <si>
    <t xml:space="preserve">This study evaluates the performance of rule-based (LAstools, CSF, ATIN) and AI-based (PointCNN, RandLA-Net, SQN, Random Forest) filtering algorithms for DTM derivation on two UAV photogrammetric datasets. Results show that algorithm performance mainly depends on terrain morphology. Particularly, at the flat urban site (Thammasat dataset), LAStools yielded the best RMSE of 0.94 m and a recall of 0.89. At the sloped terrain site (Cadastre dataset), CSF produced the best results RMSE 0.72 m and recall 0.90. Deep Learning approaches achieved recall values up to 0.94. Overall, LAStools performed best in flat terrain, whereas CSF produced optimal results in sloped areas.</t>
  </si>
  <si>
    <t xml:space="preserve">UAV DTM u urbanim područjima</t>
  </si>
  <si>
    <t xml:space="preserve">Iterative optimization annotation pipeline and ALSS-YOLO-Seg for efficient banana plantation segmentation in UAV imagery</t>
  </si>
  <si>
    <t xml:space="preserve">https://openalex.org/W4406132323</t>
  </si>
  <si>
    <t xml:space="preserve">https://doi.org/10.3389/fpls.2024.1508549</t>
  </si>
  <si>
    <t xml:space="preserve">Precise segmentation of unmanned aerial vehicle (UAV)-captured images plays a vital role in tasks such as crop yield estimation and plant health assessment in banana plantations. By identifying and classifying planted areas, crop areas can be calculated, which is indispensable for accurate yield predictions. However, segmenting banana plantation scenes requires a substantial amount of annotated data, and manual labeling of these images is both timeconsuming and labor-intensive, limiting the development of large-scale datasets. Furthermore, challenges such as changing target sizes, complex ground backgrounds, limited computational resources, and correct identification of crop categories make …</t>
  </si>
  <si>
    <t xml:space="preserve">Plantaža banana, UAV</t>
  </si>
  <si>
    <t xml:space="preserve">UAV-Supported Route Planning for UGVs in Semi-Deterministic Agricultural Environments</t>
  </si>
  <si>
    <t xml:space="preserve">https://openalex.org/W4292258994</t>
  </si>
  <si>
    <t xml:space="preserve">https://doi.org/10.3390/agronomy12081937</t>
  </si>
  <si>
    <t xml:space="preserve">Automated agricultural operations must be planned and organized to reduce risk and failure potential while optimizing productivity and efficiency. However, the diversity of natural outdoor environments and the varied data types and volumes required to represent an agricultural setting comprise critical challenges for the deployment of fully automated agricultural operations. In this regard, this study develops an integrated system for enabling an unmanned aerial vehicle (UAV) supported route planning system for unmanned ground vehicles (UGVs) in the semi-structured environment of orchards. The research focus is on the underpinning planning system components (i.e., world representation or map…</t>
  </si>
  <si>
    <t xml:space="preserve">UAV planiranje ruta za UGV u poljoprivredi</t>
  </si>
  <si>
    <t xml:space="preserve">Emerging technologies revolutionising disease diagnosis and monitoring in aquatic animal health</t>
  </si>
  <si>
    <t xml:space="preserve">Reviews in Aquaculture</t>
  </si>
  <si>
    <t xml:space="preserve">Water Quality Monitoring Technologies</t>
  </si>
  <si>
    <t xml:space="preserve">https://openalex.org/W4388015873</t>
  </si>
  <si>
    <t xml:space="preserve">https://doi.org/10.1111/raq.12870</t>
  </si>
  <si>
    <t xml:space="preserve">Abstract In recent years, aquaculture has seen tremendous growth worldwide due to technological advancements, leading to research and development of various innovations. Aquaculture farmers prioritise early diagnosis for timely treatment to achieve better productive and economic performance. Aquatic animal health experts still employ traditional diagnostic methods using visual diagnosis, cell culture, media culture, histopathology and serology. However, the developments of technologies in aquamedicine, such as sequencing, biosensors and CRISPR, have enabled rapid disease detection within minutes. Furthermore, integrating sensors, drones, artificial intelligence and the internet in aquacultur…</t>
  </si>
  <si>
    <t xml:space="preserve">Akvakultura, dronovi spomenuti</t>
  </si>
  <si>
    <t xml:space="preserve">A Simple Analytical Model for THz Band Path Loss</t>
  </si>
  <si>
    <t xml:space="preserve">IEEE Communications Letters</t>
  </si>
  <si>
    <t xml:space="preserve">Millimeter-Wave Propagation and Modeling</t>
  </si>
  <si>
    <t xml:space="preserve">https://openalex.org/W4319990454</t>
  </si>
  <si>
    <t xml:space="preserve">https://doi.org/10.1109/lcomm.2023.3241403</t>
  </si>
  <si>
    <t xml:space="preserve">In this letter, we devise a frequency, distance, and altitude-dependent, analytical model for THz band path loss. This model is obtained from cascaded regression of transmittance data from Line-by-Line Radiative Transfer Model (LBLRTM) propagation analysis tool, considering altitudes from the sea-level to 1 km, distances from 1 m to 100 m and frequencies within 0.79-0.91 THz and 0.93-0.94 THz. The proposed approach yields high accuracy with respect to propagation data while providing a simple, closed-form expression to help the design of Terahertz (THz) band drone communications.</t>
  </si>
  <si>
    <t xml:space="preserve">THz komunikacije dronova</t>
  </si>
  <si>
    <t xml:space="preserve">Characteristics of UAV Aerial Images for Monitoring of Highland Kimchi Cabbage</t>
  </si>
  <si>
    <t xml:space="preserve">한국토양비료학회지</t>
  </si>
  <si>
    <t xml:space="preserve">https://openalex.org/W2768821646</t>
  </si>
  <si>
    <t xml:space="preserve">https://doi.org/10.7745/kjssf.2017.50.3.162</t>
  </si>
  <si>
    <t xml:space="preserve">Remote sensing can be used to provide information about the monitoring of crop growth condition. Recently Unmanned Aerial Vehicle (UAV) technology offers new opportunities for assessing crop growth condition using UAV imagery. The objective of this study was to assess weather UAV aerial images are suitable for the monitoring of highland Kimchi cabbage. This study was conducted using a fixed-wing UAV (Model : Ebee) with Cannon S110, IXUS/ELPH camera during farming season from 2015 to 2016 in the main production area of highland Kimchi cabbage, Anbandegi, Maebongsan, and Gwinemi. The Normalized Difference Vegetation Index (NDVI) by using UAV images was stable and suitable for monitoring of Kim…</t>
  </si>
  <si>
    <t xml:space="preserve">Kupus, UAV snimke</t>
  </si>
  <si>
    <t xml:space="preserve">EECH HEED an adaptive hybrid clustering protocol for energy efficient soil monitoring in heterogeneous wireless sensor networks</t>
  </si>
  <si>
    <t xml:space="preserve">Energy Efficient Wireless Sensor Networks</t>
  </si>
  <si>
    <t xml:space="preserve">https://openalex.org/W4415041591</t>
  </si>
  <si>
    <t xml:space="preserve">https://doi.org/10.1038/s41598-025-19480-y</t>
  </si>
  <si>
    <t xml:space="preserve">Wireless Sensor Networks (WSNs) play a pivotal role in precision agriculture, especially for real-time soil health monitoring. However, the limited energy capacity of sensor nodes poses a significant challenge to achieving prolonged network lifetime and consistent data transmission. Existing clustering protocols often struggle with inefficient cluster head (CH) selection, limited adaptability to heterogeneous environments, and excessive control overhead. To address these issues, this paper proposes EECH-HEED, a hybrid and energy-efficient clustering model designed for soil monitoring in heterogeneous WSNs. The proposed protocol utilizes a dual-zone architecture: Zone 1, located near the base…</t>
  </si>
  <si>
    <t xml:space="preserve">WSN za tlo; UAV kao budući rad</t>
  </si>
  <si>
    <t xml:space="preserve">From smallholder to commercial farming: the impact of termite mound levelling and spatial heterogeneity in mound morphology on soil organic carbon in Miombo woodlands, Central Africa</t>
  </si>
  <si>
    <t xml:space="preserve">Landscape Ecology</t>
  </si>
  <si>
    <t xml:space="preserve">Ecology and Vegetation Dynamics Studies</t>
  </si>
  <si>
    <t xml:space="preserve">https://openalex.org/W4409384098</t>
  </si>
  <si>
    <t xml:space="preserve">https://doi.org/10.1007/s10980-025-02097-x</t>
  </si>
  <si>
    <t xml:space="preserve">Abstract Context The recent expansion of commercial agriculture in the Miombo woodlands of central Africa has led to widespread levelling of termite mounds. These mounds contain significantly lower soil organic carbon (SOC) than surrounding soils, and their levelling could largely reduce SOC content in the plough layer, which remains understudied. Objectives We aim to investigate the effects of mound levelling on SOC of the plough layer in a 1.5 km 2 plot used for commercial farming and quantify the contribution of pre-existing termite mounds to SOC variation in the levelled cropland. Methods Before and after levelling, we conducted unmanned aerial vehicle (UAV) surveys with structure-from-m…</t>
  </si>
  <si>
    <t xml:space="preserve">Ravnanje termitnjaka, UAV snimanje oranica</t>
  </si>
  <si>
    <t xml:space="preserve">Detection and monitoring wheat diseases using unmanned aerial vehicles (UAVs)</t>
  </si>
  <si>
    <t xml:space="preserve">https://openalex.org/W4399715967</t>
  </si>
  <si>
    <t xml:space="preserve">https://doi.org/10.1016/j.compag.2024.109158</t>
  </si>
  <si>
    <t xml:space="preserve">Bolesti pšenice UAV-om</t>
  </si>
  <si>
    <t xml:space="preserve">Textural Characterization of Sugarcane Areas with Mucuna Aterrima Infestation Using Remotely Piloted Aircraft in the Eastern Brazilian Amazon</t>
  </si>
  <si>
    <t xml:space="preserve">African Botany and Ecology Studies</t>
  </si>
  <si>
    <t xml:space="preserve">https://openalex.org/W4415540653</t>
  </si>
  <si>
    <t xml:space="preserve">https://doi.org/10.1007/s12524-025-02331-8</t>
  </si>
  <si>
    <t xml:space="preserve">remotely piloted aircraft</t>
  </si>
  <si>
    <t xml:space="preserve">Šećerna trska, RPA snimke (pojam skraćen u naslovu)</t>
  </si>
  <si>
    <t xml:space="preserve">Beyond the Fields: Building Smart Agricultural Infrastructure for Tomorrow</t>
  </si>
  <si>
    <t xml:space="preserve">Zenodo (CERN European Organization for Nuclear Research)</t>
  </si>
  <si>
    <t xml:space="preserve">https://openalex.org/W7104373225</t>
  </si>
  <si>
    <t xml:space="preserve">https://doi.org/10.5281/zenodo.17551816</t>
  </si>
  <si>
    <t xml:space="preserve">drone, drones</t>
  </si>
  <si>
    <t xml:space="preserve">Introduction: A New Dawn in Agricultural Transformation Agriculture is no longer confined to manual labor and unpredictable outcomes—it is rapidly evolving into a technology-driven ecosystem. The modern farming landscape is witnessing a remarkable shift, where Crop Monitoring Systems and digital tools are redefining productivity, sustainability, and decision-making. Farmers today have access to data-driven insights, real-time updates, and automation technologies that simplify every step—from soil preparation to harvest. This integration of software and smart systems forms the foundation of tomorrow’s agricultural infrastructure, transforming farms into connected, intelligent hubs of innovati…</t>
  </si>
  <si>
    <t xml:space="preserve">Pametna infrastruktura; dronovi spomenuti</t>
  </si>
  <si>
    <t xml:space="preserve">A fast and efficient approach to estimate wild blueberry yield using machine learning with drone photography: Flight altitude, sampling method and model effects</t>
  </si>
  <si>
    <t xml:space="preserve">Berry genetics and cultivation research</t>
  </si>
  <si>
    <t xml:space="preserve">https://openalex.org/W4389844005</t>
  </si>
  <si>
    <t xml:space="preserve">https://doi.org/10.1016/j.compag.2023.108543</t>
  </si>
  <si>
    <t xml:space="preserve">Prinos borovnice, dron</t>
  </si>
  <si>
    <t xml:space="preserve">DETECTION OF READY-TO-HARVEST TOBACCO LEAVES FROM DRONE IMAGES USING DEEP LEARNING</t>
  </si>
  <si>
    <t xml:space="preserve">Fuzzy Systems and Soft Computing</t>
  </si>
  <si>
    <t xml:space="preserve">https://openalex.org/W4408805840</t>
  </si>
  <si>
    <t xml:space="preserve">https://doi.org/10.36893/fssc.2025.v20.013</t>
  </si>
  <si>
    <t xml:space="preserve">Tobacco leaf curing is a crucial process that determines the quality, flavor, and aroma of the final product. Accurate identification of ready-to-harvest leaves is essential to ensure optimal curing results. However, traditional methods rely on manual inspection, which is time-consuming, labor-intensive, and prone to human error. To address these challenges, this project proposes an automated DL-based approach for detecting mature tobacco leaves using drone-captured images. A CNN is trained on a dataset of tobacco leaves at various maturity stages, enabling precise classification without manual intervention. The system leverages drone technology to efficiently cover large agricultural fields…</t>
  </si>
  <si>
    <t xml:space="preserve">Duhan, dronske snimke</t>
  </si>
  <si>
    <t xml:space="preserve">Use of different vegetation indices for the evaluation of the kinetics of the cherry tomato (Solanum lycopersicum var. cerasiforme) growth based on multispectral images by UAV</t>
  </si>
  <si>
    <t xml:space="preserve">Open Agriculture</t>
  </si>
  <si>
    <t xml:space="preserve">https://openalex.org/W4402597053</t>
  </si>
  <si>
    <t xml:space="preserve">https://doi.org/10.1515/opag-2022-0357</t>
  </si>
  <si>
    <t xml:space="preserve">Abstract This study evaluated seven vegetation indices for the monitoring of a cherry tomato crop using an unmanned aerial vehicle with a multispectral camera that measures in the green, red, and near-infrared spectral bands. A photogrammetric flight plan was designed to capture the spectral images every 2 weeks in two agricultural parcels identified as Treatment 1 ( T 1 {T}_{1} ) and Treatment 2 ( T 2 {T}_{2} ). The corresponding orthophotographs were obtained using digital photogrammetry techniques. Subsequently, vegetation indices were calculated for these orthophotographs. The mean and standard deviation of these indices were extracted, and a statistical analysis was performed to compare…</t>
  </si>
  <si>
    <t xml:space="preserve">Cherry rajčica, UAV indeksi</t>
  </si>
  <si>
    <t xml:space="preserve">Consultancy Pattern among Agriculture Students at UAS, Bangalore (Karnataka)</t>
  </si>
  <si>
    <t xml:space="preserve">Agricultural Innovations and Practices</t>
  </si>
  <si>
    <t xml:space="preserve">https://openalex.org/W2278773080</t>
  </si>
  <si>
    <t xml:space="preserve">A study was conducted at UAS, Bangalore (Karnataka) during 2009 to know the consultancy pattern among students for job placement. Data were collected from B.Sc (Agriculture) final year 120 students with the help of structured pre-tested interview schedule. The study revealed that majority of the students used mass media sources to a maximum extent followed by informal and formal sources. Among the mass media sources, most of the students used website followed by newspapers, television and journals. friends, parents and relatives among informal sources and university placement cell, agricultural officers and consultants among formal sources were utilized by majority of the students.</t>
  </si>
  <si>
    <t xml:space="preserve">„UAS“ = University of Agricultural Sciences Bangalore</t>
  </si>
  <si>
    <t xml:space="preserve">Functional Characterization of Drosophila microRNAs by a Novel in Vivo Library</t>
  </si>
  <si>
    <t xml:space="preserve">Genetics</t>
  </si>
  <si>
    <t xml:space="preserve">MicroRNA in disease regulation</t>
  </si>
  <si>
    <t xml:space="preserve">https://openalex.org/W2140100489</t>
  </si>
  <si>
    <t xml:space="preserve">https://doi.org/10.1534/genetics.112.145383</t>
  </si>
  <si>
    <t xml:space="preserve">Animal microRNAs (miRNA) are implicated in the control of nearly all cellular functions. Due to high sequence redundancy within the miRNA gene pool, loss of most of these 21- to 24-bp long RNAs individually does not cause a phenotype. Thus, only very few miRNAs have been associated with clear functional roles. We constructed a transgenic UAS-miRNA library in Drosophila melanogaster that contains 180 fly miRNAs. This library circumvents the redundancy issues by facilitating the controlled misexpression of individual miRNAs and is a useful tool to complement loss-of-function approaches. Demonstrating the effectiveness of our library, 78 miRNAs induced clear phenotypes. Most of these miRNAs wer…</t>
  </si>
  <si>
    <t xml:space="preserve">„UAS“ = Drosophila</t>
  </si>
  <si>
    <t xml:space="preserve">Examination of shape memory polymer-auxetic landing gears on landing approach for quadcopter</t>
  </si>
  <si>
    <t xml:space="preserve">Materials Today Proceedings</t>
  </si>
  <si>
    <t xml:space="preserve">Robotic Locomotion and Control</t>
  </si>
  <si>
    <t xml:space="preserve">https://openalex.org/W3170301160</t>
  </si>
  <si>
    <t xml:space="preserve">https://doi.org/10.1016/j.matpr.2021.05.030</t>
  </si>
  <si>
    <t xml:space="preserve">The current work examines the perching and flight stability studies of the auxetic landing gear based on shape memory polymers. UAVs are capable of perch-and-stare missions. Most UAV perching approachesinvolve complicated maneuvering and depend on particular structures such as rough attachment walls or grasping tree branches. Perching is accomplished by integrating a compliant, underactuated gripping foot and a collapsing mechanism of the leg that converts the weight of the rotorcraft into tendon tension for passive action of the foot. In-plane isotropic in tiny deformations, the hexachiral structure. The aim of the research is, however, to enhance the two shock absorption properties and the…</t>
  </si>
  <si>
    <t xml:space="preserve">Stajni trap kvadkoptera</t>
  </si>
  <si>
    <t xml:space="preserve">R-LOAM: Improving LiDAR Odometry and Mapping With Point-to-Mesh Features of a Known 3D Reference Object</t>
  </si>
  <si>
    <t xml:space="preserve">IEEE Robotics and Automation Letters</t>
  </si>
  <si>
    <t xml:space="preserve">https://openalex.org/W3129693044</t>
  </si>
  <si>
    <t xml:space="preserve">https://doi.org/10.1109/lra.2021.3060413</t>
  </si>
  <si>
    <t xml:space="preserve">LiDAR-based odometry and mapping is used in many robotic applications to retrieve the robot's position in an unknown environment and allows for autonomous operation in GPS-denied (e.g., indoor) environments. With a 3D LiDAR sensor, highly accurate localization becomes possible, which enables high quality 3D reconstruction of the environment. In this letter we extend the well-known LOAM framework by leveraging prior knowledge about a reference object in the environment to further improve the localization accuracy. This requires a known 3D model of the reference object and its known position in a global coordinate frame. Instead of only relying on the point features in the mapping module of LO…</t>
  </si>
  <si>
    <t xml:space="preserve">LiDAR odometrija UAV</t>
  </si>
  <si>
    <t xml:space="preserve">Medical Applications of Drones for Disaster Relief: A Review of the Literature.</t>
  </si>
  <si>
    <t xml:space="preserve">PubMed</t>
  </si>
  <si>
    <t xml:space="preserve">Disaster Response and Management</t>
  </si>
  <si>
    <t xml:space="preserve">https://openalex.org/W2904168886</t>
  </si>
  <si>
    <t xml:space="preserve">drone, drones, uas, unmanned aerial</t>
  </si>
  <si>
    <t xml:space="preserve">INTRODUCTION: Rapid progress has been made with unmanned aerial systems (UAS), which are now used in a wide variety of different fields, including media, agriculture, wildlife, and infrastructure. However, the application of UAS for medical purposes, and in particular disaster relief efforts, has been slower to develop. This paper will review and present pertinent studies in the literature. METHODOLOGY: Studies related to drones and medical applications for disaster relief were identified as part of a larger search regarding the civilian application of drones. A search for civilian drone applications was performed in the EBSCO (Elton B. Stephens Company) database. Non-civilian applications a…</t>
  </si>
  <si>
    <t xml:space="preserve">Medicinski dronovi</t>
  </si>
  <si>
    <t xml:space="preserve">The role of investment in the development of smart agricultural technologies in megacities</t>
  </si>
  <si>
    <t xml:space="preserve">Scientific Horizons</t>
  </si>
  <si>
    <t xml:space="preserve">https://openalex.org/W4412922984</t>
  </si>
  <si>
    <t xml:space="preserve">https://doi.org/10.48077/scihor6.2025.150</t>
  </si>
  <si>
    <t xml:space="preserve">The aim of the study was to analyse the role of investments in the development of smart agricultural technologies in the agro-industrial complex of various regions, with a focus on the implementation of these technologies in Azerbaijan. The study analysed current investment trends in smart agricultural technologies in North America, Europe, the Asia-Pacific region, Latin America, the Middle East and Africa for 2023-2024, and assessed their impact on the development of the agro-industrial complex in the period from 2023 to 2034. The investment analysis showed that North America accounted for the largest share of the smart agricultural technology market in 2023-2024 (43%), followed by the Asia…</t>
  </si>
  <si>
    <t xml:space="preserve">Ulaganja u pametnu poljoprivredu; dronovi spomenuti</t>
  </si>
  <si>
    <t xml:space="preserve">Drones-of-the-Future in Agriculture 5.0 – Automation, integration, and optimisation</t>
  </si>
  <si>
    <t xml:space="preserve">Agricultural Systems</t>
  </si>
  <si>
    <t xml:space="preserve">https://openalex.org/W4415601036</t>
  </si>
  <si>
    <t xml:space="preserve">https://doi.org/10.1016/j.agsy.2025.104543</t>
  </si>
  <si>
    <t xml:space="preserve">CONTEXT The adoption of drones within Agriculture 5.0 is transforming farming into a service-oriented and data-driven system. This study provides a state-of-art review of Drone-as-a-Service (DaaS), evaluating applications across crop monitoring, soil assessment, livestock surveillance, harvest forecasting, and post-harvest logistics. OBJECTIVE This review propose a systems-level framework to guide future research, regulation, and deployment of drones within Agriculture 5.0. METHODS The study synthesises datasets from published technical standards, communication protocols, interoperability studies, and agricultural service platforms, complemented by tabulated evidence on drone functions, inte…</t>
  </si>
  <si>
    <t xml:space="preserve">Pregled: dronovi u poljoprivredi 5.0</t>
  </si>
  <si>
    <t xml:space="preserve">Low-Cost Ka-Band Cloud Radar System for Distributed Measurements within the Atmospheric Boundary Layer</t>
  </si>
  <si>
    <t xml:space="preserve">Atmospheric aerosols and clouds</t>
  </si>
  <si>
    <t xml:space="preserve">https://openalex.org/W3106723231</t>
  </si>
  <si>
    <t xml:space="preserve">https://doi.org/10.3390/rs12233965</t>
  </si>
  <si>
    <t xml:space="preserve">Radars are used to retrieve physical parameters related to clouds and fog. With these measurements, models can be developed for several application fields such as climate, agriculture, aviation, energy, and astronomy. In Chile, coastal fog and low marine stratus intersect the coastal topography, forming a thick fog essential to sustain coastal ecosystems. This phenomenon motivates the development of cloud radars to boost scientific research. In this article, we present the design of a Ka-band cloud radar and the experiments that prove its operation. The radar uses a frequency-modulated continuous-wave with a carrier frequency of 38 GHz. By using a drone and a commercial Lidar, we were able t…</t>
  </si>
  <si>
    <t xml:space="preserve">Radar oblaka provjeren dronom</t>
  </si>
  <si>
    <t xml:space="preserve">Estimating fractional vegetation cover of maize under water stress from UAV multispectral imagery using machine learning algorithms</t>
  </si>
  <si>
    <t xml:space="preserve">https://openalex.org/W3198108106</t>
  </si>
  <si>
    <t xml:space="preserve">https://doi.org/10.1016/j.compag.2021.106414</t>
  </si>
  <si>
    <t xml:space="preserve">Kukuruz, vodni stres, UAV</t>
  </si>
  <si>
    <t xml:space="preserve">The genetic architecture of reproductive differences in workers of Africanized and European honey bees, Apis mellifera</t>
  </si>
  <si>
    <t xml:space="preserve">NC Digital Online Collection of Knowledge and Scholarship (The University of North Carolina at Greensboro)</t>
  </si>
  <si>
    <t xml:space="preserve">Insect and Arachnid Ecology and Behavior</t>
  </si>
  <si>
    <t xml:space="preserve">https://openalex.org/W1505446208</t>
  </si>
  <si>
    <t xml:space="preserve">The Western Honeybee (Apis mellifera) displays a special form of social behavior called eusociality. The evolution of its reproductively specialized castes and social behavior from a solitary ancestor may be explained by the reproductive ground plan hypothesis. This hypothesis predicts a relationship between the variation of ovary size and -activity and social behavior. At the phenotypic level, ovary size has been associated with a whole set of behavioral phenotypes, known as the pollen hoarding syndrome. While many of these phenotypes are potentially influenced by regulatory pathways, involving juvenile hormone and vitellogenin, the exact genetic links between ovary size determination and s…</t>
  </si>
  <si>
    <t xml:space="preserve">„drones“ = trutovi (pčele)</t>
  </si>
  <si>
    <t xml:space="preserve">Uzorak B: 50 slučajnih zapisa sirovog upita, 2005.–2015. (seed 20260829)</t>
  </si>
  <si>
    <t xml:space="preserve">Section News</t>
  </si>
  <si>
    <t xml:space="preserve">Anthropology News</t>
  </si>
  <si>
    <t xml:space="preserve">Historical and Cultural Archaeology Studies</t>
  </si>
  <si>
    <t xml:space="preserve">https://openalex.org/W4233763440</t>
  </si>
  <si>
    <t xml:space="preserve">https://doi.org/10.1111/j.1556-3502.2011.52925.x</t>
  </si>
  <si>
    <t xml:space="preserve">Abstract: For your convenience, this month's Section News PDF includes bookmarks for each section. After opening the PDF, select the “Bookmark” tab on the left side of your screen, and click on the name of the section you are interested in reading. AMERICAN ETHNOLOGICAL SOCIETY (AES): Caitrin Lynch, ed. “Occupy Wall Street” by M Elle Saine ANTHROPOLOGY AND ENVIRONMENT SECTION (A&amp;E): Amelia Moore, ed. “Understanding Interdisciplinarity in the Long Term Ecological Research Network” by Rebecca Garvoille ARCHEOLOGY DIVISION (AD): E Christian Wells, ed. “Continuing Professional Education in Archaeology: A New Program from RPA” by Ian Burrow ASSOCIATION OF BLACK ANTHROPOLOGISTS (ABA): Bianca C Wil…</t>
  </si>
  <si>
    <t xml:space="preserve">Nema UAV pojma (Section News)</t>
  </si>
  <si>
    <t xml:space="preserve">Different Fish-Eating Habits and Cytokine Production in Chronic Urticaria with and without Sensitization against the Fish-Parasite Anisakis simplex</t>
  </si>
  <si>
    <t xml:space="preserve">Allergology International</t>
  </si>
  <si>
    <t xml:space="preserve">Urticaria and Related Conditions</t>
  </si>
  <si>
    <t xml:space="preserve">https://openalex.org/W1986281840</t>
  </si>
  <si>
    <t xml:space="preserve">https://doi.org/10.2332/allergolint.12-oa-0504</t>
  </si>
  <si>
    <t xml:space="preserve">BACKGROUND: Anisakis simplex sensitization has been associated with acute, but also with chronic urticaria. The objective of this study is to characterize chronic urticaria with (CU+) and without sensitization (CU-) against the ubiquitous fish parasite A. simplex in a transversal and longitudinal evaluation. METHODS: 16 CU+ and 22 CU- patients were included and assessed for Urticaria activity score (UAS), fish-eating habits by standardized questionnaire and cytokine production (assessed by flow cytometric bead-based array) of peripheral blood mononuclear cells after stimulation with A. simplex extract or Concanavalin A (Con A). Patients were randomly put on a fish-free diet for three months …</t>
  </si>
  <si>
    <t xml:space="preserve">„UAS“ = urticaria activity score</t>
  </si>
  <si>
    <t xml:space="preserve">Synthesis, helical conformation, and infrared emissivity property study of optically active substituted polyacetylenes derived from serine</t>
  </si>
  <si>
    <t xml:space="preserve">Journal of Applied Polymer Science</t>
  </si>
  <si>
    <t xml:space="preserve">Synthesis and Properties of Aromatic Compounds</t>
  </si>
  <si>
    <t xml:space="preserve">https://openalex.org/W2060213987</t>
  </si>
  <si>
    <t xml:space="preserve">https://doi.org/10.1002/app.41210</t>
  </si>
  <si>
    <t xml:space="preserve">ABSTRACT Serine‐based monosubstituted acetylene monomers were synthesized and polymerized with rhodium zwitterion catalyst in THF to afford optically active polyacetylene derivatives (LPA and DPA) and corresponding racemic polyacetylenes (RPA) with moderate molecular weights in good yields. All of the substituted polyacetylenes (SPA) were characterized by FT‐IR, NMR, GPC, UV‐Vis spectroscopy, circular dichroism (CD) spectroscopy, and TGA. LPA and DPA were soluble in common organic solvents and possessed single‐handed helical conformation according to their intense Cotton effect and large specific rotations, while RPA presented random coiled polymer chain. The characterization results showed …</t>
  </si>
  <si>
    <t xml:space="preserve">Nema UAV pojma (kemija)</t>
  </si>
  <si>
    <t xml:space="preserve">Potential of aerial robotics in crop production: high resolution NIR/VIS imagery obtained by automated unmanned aerial vehicle (UAV) in estimation of botanical composition of alfalfa-grass mixture</t>
  </si>
  <si>
    <t xml:space="preserve">https://openalex.org/W2564183401</t>
  </si>
  <si>
    <t xml:space="preserve">Lucerna-trava, UAV NIR/VIS</t>
  </si>
  <si>
    <t xml:space="preserve">Real-Time Optimal Mission Scheduling and Flight Path Selection</t>
  </si>
  <si>
    <t xml:space="preserve">IEEE Transactions on Automatic Control</t>
  </si>
  <si>
    <t xml:space="preserve">Vehicle Routing Optimization Methods</t>
  </si>
  <si>
    <t xml:space="preserve">https://openalex.org/W2110698131</t>
  </si>
  <si>
    <t xml:space="preserve">https://doi.org/10.1109/tac.2007.899048</t>
  </si>
  <si>
    <t xml:space="preserve">We consider a mission in which m UAVs with a capacity limit q each visit n(les mq) targets in a hostile environment in a cooperative manner (and return to where they departed from) such that the cost reflecting operating time and risk exposed is minimized. We first propose a mixed-integer linear programming (MILP) formulation which exactly solves the problem and then propose four alternative MILP formulations which are computationally less intensive and, therefore, suited for real-time purposes, but yield a theoretically guaranteed suboptimal solution. The main contributions of this note are an exact but compact MILP formulation, using a room concept, and four nonexact formulations, each one…</t>
  </si>
  <si>
    <t xml:space="preserve">Vojno planiranje misija UAV-a</t>
  </si>
  <si>
    <t xml:space="preserve">UAV operated Hyperspectral Imager for forest and agriculture applications</t>
  </si>
  <si>
    <t xml:space="preserve">Infrared Target Detection Methodologies</t>
  </si>
  <si>
    <t xml:space="preserve">https://openalex.org/W2970191788</t>
  </si>
  <si>
    <t xml:space="preserve">Hiperspektralni senzor za šume i poljoprivredu</t>
  </si>
  <si>
    <t xml:space="preserve">The HhH(2)/NDD Domain of the Drosophila Nod Chromokinesin-like Protein Is Required for Binding to Chromosomes in the Oocyte Nucleus</t>
  </si>
  <si>
    <t xml:space="preserve">Chromosomal and Genetic Variations</t>
  </si>
  <si>
    <t xml:space="preserve">https://openalex.org/W2147646531</t>
  </si>
  <si>
    <t xml:space="preserve">https://doi.org/10.1534/genetics.105.047464</t>
  </si>
  <si>
    <t xml:space="preserve">Nod is a chromokinesin-like protein that plays a critical role in segregating achiasmate chromosomes during female meiosis. The C-terminal half of the Nod protein contains two putative DNA-binding domains. The first of these domains, known as the HMGN domain, consists of three tandemly repeated high-mobility group N motifs. This domain was previously shown to be both necessary and sufficient for binding of the C-terminal half of Nod to mitotic chromosomes in embryos. The second putative DNA-binding domain, denoted HhH(2)/NDD, is a helix-hairpin-helix(2)/Nod-like DNA-binding domain. Although the HhH(2)/NDD domain is not required or sufficient for chromosome binding in embryos, several well-ch…</t>
  </si>
  <si>
    <t xml:space="preserve">New Honeybee Toxicity Studies in RCC</t>
  </si>
  <si>
    <t xml:space="preserve">한국농약과학회 학술발표대회 논문집</t>
  </si>
  <si>
    <t xml:space="preserve">Insect and Pesticide Research</t>
  </si>
  <si>
    <t xml:space="preserve">https://openalex.org/W2270439011</t>
  </si>
  <si>
    <t xml:space="preserve">Honeybees (Apis mellifera L.) are important pollinators of agricultural crops and orchards, found in both urban and natural landscapes. Honey-bees are social insects living in hives controlled by a queen and supported by worker bees (females) and drones (males). During the summer months, a colony presided over by a queen consists of approximately 10,000 to 30,000 worker bees and 100 to 1,000 drones. Colonies can be wild, but often are domesticated, specifically established by beekeepers for pollination and honey production. Worker bees forage several miles from the hive to gather pollen and nectar from many flower species. They are also known to collect honeydew produced by aphids. Honeybees…</t>
  </si>
  <si>
    <t xml:space="preserve">„drones“ = trutovi</t>
  </si>
  <si>
    <t xml:space="preserve">NIMG-60TREATMENT RESPONSE KINETICS AND EXCEPTIONAL SURVIVAL IN GLIOBLASTOMA</t>
  </si>
  <si>
    <t xml:space="preserve">Neuro-Oncology</t>
  </si>
  <si>
    <t xml:space="preserve">Glioma Diagnosis and Treatment</t>
  </si>
  <si>
    <t xml:space="preserve">https://openalex.org/W2554945760</t>
  </si>
  <si>
    <t xml:space="preserve">https://doi.org/10.1093/neuonc/nov225.60</t>
  </si>
  <si>
    <t xml:space="preserve">Although glioblastoma (GBM) is considered a uniformly fatal disease, roughly 2-5% of GBM patients survive longer than 5 years. In this study, we sought to elucidate how response to treatment may be similar or different in long-term survivors (LTS) defined as living longer than 3 years (n = 12) versus patients with typical overall survival (&lt;3 years) (n = 36). Pre-treatment, response to radiation, time to minimum volume, and post-treatment tumor growth kinetics were compared. Newly diagnosed GBM patients with 2 pre-treatment MRIs and 1 post-treatment MRI treated with adjuvant chemoradiation were included. Patients were classified by overall survival: LTS &gt;3 years and the typical cohort as &lt;3 …</t>
  </si>
  <si>
    <t xml:space="preserve">Nema UAV pojma (glioblastom)</t>
  </si>
  <si>
    <t xml:space="preserve">Not So Good Old Summertime</t>
  </si>
  <si>
    <t xml:space="preserve">Canadian Journal of Infectious Diseases and Medical Microbiology</t>
  </si>
  <si>
    <t xml:space="preserve">Viral Infections and Vectors</t>
  </si>
  <si>
    <t xml:space="preserve">https://openalex.org/W1950343464</t>
  </si>
  <si>
    <t xml:space="preserve">https://doi.org/10.1155/2007/710513</t>
  </si>
  <si>
    <t xml:space="preserve">Visions of another glorious Canadian summer shimmer before us – a world of light and warmth after a cold, dark season. Cottages, lakes, barbecues and long, warm evenings beckon. There will be hikes through the bush, socializing over hamburgers, drinks on the deck at sunset, and sand and swimming at the beach.
What is wrong with this picture? It's the persistent drone of messages alerting us to an ever-increasing danger with summertime and summer pursuits. There is no need to consider noninfectious problems such as skin cancer or off-road vehicle accidents; there is sufficient alarm considering only the infectious diseases. Bird watchers now wonder if the glory of the spring migration hera…</t>
  </si>
  <si>
    <t xml:space="preserve">„drone“ = zujanje poruka</t>
  </si>
  <si>
    <t xml:space="preserve">Synthetic Lethality Induced by a Strong Drosophila Enhancer of Expanded Polyglutamine Tract</t>
  </si>
  <si>
    <t xml:space="preserve">Open Journal of Genetics</t>
  </si>
  <si>
    <t xml:space="preserve">Genetic Neurodegenerative Diseases</t>
  </si>
  <si>
    <t xml:space="preserve">https://openalex.org/W2014279843</t>
  </si>
  <si>
    <t xml:space="preserve">https://doi.org/10.4236/ojgen.2014.44028</t>
  </si>
  <si>
    <t xml:space="preserve">Proteins containing an expanded polyglutamine tract are neurotoxins. The expanded polyglutamine proteins influence a variety of cellular functions. In Drosophila the GMR-Gal4/UAS expression system has been widely used in an eye-based model to study human neurodegenerative diseases. This system has facilitated the isolation and characterization of abundant Drosophilagenes that interact with the expanded polyglutamine proteins. We used the GMR-Gal4/UAS system to express three proteins containing an expanded polyglutamine tract, or an expanded polyglutamine tract alone. Doubling the dose of these proteins resulted in pupal lethality, indicating that these toxic proteins induced a sensitized con…</t>
  </si>
  <si>
    <t xml:space="preserve">A MAG for the Twenty First Century: Lethal, Lighter, Energy Efficient, and Cheaper</t>
  </si>
  <si>
    <t xml:space="preserve">Rocket and propulsion systems research</t>
  </si>
  <si>
    <t xml:space="preserve">https://openalex.org/W329917040</t>
  </si>
  <si>
    <t xml:space="preserve">uas, unmanned aircraft</t>
  </si>
  <si>
    <t xml:space="preserve">Abstract : The Marine Corps should acquire the OV-10X, a fixed wing light attack aircraft, and group that newly formed squadron with future Unmanned Aircraft System (UAS) squadrons and the newly armed KC-130 squadrons into a common Marine Aircraft Group (MAG) in order to achieve several significant goals. First, this proposal addresses the MV-22 Osprey escort gap and the training and personnel limitations of the UAS and KC-130 communities by establishing a primary career path for UAS officer aircrew and integrated aircrew training across all three squadrons. Second, it provides a model to supply additional U.S. Marine Corps airframes, in support of an identified U.S. Air Force and U.S. Navy …</t>
  </si>
  <si>
    <t xml:space="preserve">Vojni UAS eskadroni</t>
  </si>
  <si>
    <t xml:space="preserve">EXTENDED KALMAN FILTER BASED AIRBORNE SIMULTANEOUS LOCALIZATION AND MAPPING</t>
  </si>
  <si>
    <t xml:space="preserve">DOAJ (DOAJ: Directory of Open Access Journals)</t>
  </si>
  <si>
    <t xml:space="preserve">https://openalex.org/W2970423453</t>
  </si>
  <si>
    <t xml:space="preserve">UAVs are expected to perform all or part of its mission as autonomous in accordance with predefined at the manufacture objectives and prerequest of safe autonomous navigation is to detect the UAV location precisely. Nowadays the most common method for location detection is the use of Global Navigation Satellite Systems (GNSS). Howewer but it is a challenge for researchers to determine location in GNSS denied enviroments. Although new methods are emerging continuously, the most notably one is Simultaneous Localization and Mapping (SLAM), which is a good solution when both UAVs position and region map are not known. In this research, formulas of Extended Kalman Filter (EKF) based (A-SLAM) Airb…</t>
  </si>
  <si>
    <t xml:space="preserve">SLAM za UAV</t>
  </si>
  <si>
    <t xml:space="preserve">Diagnostics-in-a-Suitcase: Development of a portable and rapid assay for the detection of the emerging avian influenza A (H7N9) virus</t>
  </si>
  <si>
    <t xml:space="preserve">Journal of Clinical Virology</t>
  </si>
  <si>
    <t xml:space="preserve">Influenza Virus Research Studies</t>
  </si>
  <si>
    <t xml:space="preserve">https://openalex.org/W1949466286</t>
  </si>
  <si>
    <t xml:space="preserve">https://doi.org/10.1016/j.jcv.2015.05.004</t>
  </si>
  <si>
    <t xml:space="preserve">BACKGROUND: In developing countries, equipment necessary for diagnosis is only available in few central laboratories, which are less accessible and of limited capacity to test large numbers of incoming samples. Moreover, the transport conditions of samples are inadequate, therefore leading to unreliable results. OBJECTIVES: The development of a rapid, inexpensive, and simple test would allow mobile detection of viruses. STUDY DESIGN: A suitcase laboratory "Diagnostics-in-a-Suitcase" (56cm×45.5cm×26.5cm) containing all reagents and devices necessary for performing a reverse transcription recombinase polymerase amplification (RT-RPA) assay was developed. As an example, two RT-RPA assays were e…</t>
  </si>
  <si>
    <t xml:space="preserve">Nema UAV pojma (dijagnostika)</t>
  </si>
  <si>
    <t xml:space="preserve">RNAi Knockdown of Nopp140 InducesMinute-like Phenotypes inDrosophila</t>
  </si>
  <si>
    <t xml:space="preserve">Molecular Biology of the Cell</t>
  </si>
  <si>
    <t xml:space="preserve">RNA modifications and cancer</t>
  </si>
  <si>
    <t xml:space="preserve">https://openalex.org/W2144049291</t>
  </si>
  <si>
    <t xml:space="preserve">https://doi.org/10.1091/mbc.e07-01-0074</t>
  </si>
  <si>
    <t xml:space="preserve">Nopp140 associates with small nucleolar RNPs to chaperone pre-rRNA processing and ribosome assembly. Alternative splicing yields two isoforms in Drosophila: Nopp140-True is homologous to vertebrate Nopp140 particularly in its carboxy terminus, whereas Nopp140-RGG contains a glycine and arginine-rich (RGG) carboxy terminus typically found in vertebrate nucleolin. Loss of ribosome function or production at critical points in development leads to Minute phenotypes in Drosophila or the Treacher Collins syndrome (TCS) in humans. To ascertain the functional significance of Nopp140 in Drosophila development, we expressed interfering RNA using the GAL4/UAS system. Reverse transcription-PCR showed va…</t>
  </si>
  <si>
    <t xml:space="preserve">Pros of unmanned aerial site viewing</t>
  </si>
  <si>
    <t xml:space="preserve">Renewable energy focus</t>
  </si>
  <si>
    <t xml:space="preserve">Hungarian Social, Economic and Educational Studies</t>
  </si>
  <si>
    <t xml:space="preserve">https://openalex.org/W1996228435</t>
  </si>
  <si>
    <t xml:space="preserve">https://doi.org/10.1016/s1755-0084(14)70100-0</t>
  </si>
  <si>
    <t xml:space="preserve">Pregled gradilišta UAV-om</t>
  </si>
  <si>
    <t xml:space="preserve">Robust Optimal Control of Quadrotor UAVs</t>
  </si>
  <si>
    <t xml:space="preserve">IEEE Access</t>
  </si>
  <si>
    <t xml:space="preserve">Adaptive Control of Nonlinear Systems</t>
  </si>
  <si>
    <t xml:space="preserve">https://openalex.org/W2094917509</t>
  </si>
  <si>
    <t xml:space="preserve">https://doi.org/10.1109/access.2013.2260794</t>
  </si>
  <si>
    <t xml:space="preserve">This paper provides the design and implementation of an L1-optimal control of a quadrotor unmanned aerial vehicle (UAV). The quadrotor UAV is an underactuated rigid body with four propellers that generate forces along the rotor axes. These four forces are used to achieve asymptotic tracking of four outputs, namely the position of the center of mass of the UAV and the heading. With perfect knowledge of plant parameters and no measurement noise, the magnitudes of the errors are shown to exponentially converge to zero. In the case of parametric uncertainty and measurement noise, the controller yields an exponential decrease of the magnitude of the errors in an L1-optimal sense. In other words, …</t>
  </si>
  <si>
    <t xml:space="preserve">Upravljanje kvadrotorom</t>
  </si>
  <si>
    <t xml:space="preserve">Effect of ferromagnetic spin fluctuations on the electronic states in NaxCoO2 based on two-dimensional triangular lattice 11-band d–p model</t>
  </si>
  <si>
    <t xml:space="preserve">Journal of Physics and Chemistry of Solids</t>
  </si>
  <si>
    <t xml:space="preserve">Physics of Superconductivity and Magnetism</t>
  </si>
  <si>
    <t xml:space="preserve">https://openalex.org/W1983903878</t>
  </si>
  <si>
    <t xml:space="preserve">https://doi.org/10.1016/j.jpcs.2008.06.078</t>
  </si>
  <si>
    <t xml:space="preserve">Nema UAV pojma (fizika)</t>
  </si>
  <si>
    <t xml:space="preserve">The Rise of Small UAVs in Precision Agriculture</t>
  </si>
  <si>
    <t xml:space="preserve">https://openalex.org/W2526391094</t>
  </si>
  <si>
    <t xml:space="preserve">Abstract. Unmanned aerial vehicles (UAVs) were originally designed for dull, dirty, and often dangerous work in military operations. However, like other military technologies, such as GPS, UAVs will soon find more use in civilian applications. In fact, the Federal Aviation Administration (FAA) is congressionally mandated to open U.S. air space for the commercial use of UAVs by 2015. A conservative estimate by an aviation economist projected a $13.6 billion impact of this technology in the first three years of approved commercial use (2015-2018), and among all potential markets for UAVs, precision agriculture is considered to be the largest. This will have significant implications for precisi…</t>
  </si>
  <si>
    <t xml:space="preserve">Pregled: mali UAV-i u preciznoj poljoprivredi</t>
  </si>
  <si>
    <t xml:space="preserve">Detecting Cars in UAV Images With a Catalog-Based Approach</t>
  </si>
  <si>
    <t xml:space="preserve">IEEE Transactions on Geoscience and Remote Sensing</t>
  </si>
  <si>
    <t xml:space="preserve">Advanced Image and Video Retrieval Techniques</t>
  </si>
  <si>
    <t xml:space="preserve">https://openalex.org/W2043552486</t>
  </si>
  <si>
    <t xml:space="preserve">https://doi.org/10.1109/tgrs.2013.2296351</t>
  </si>
  <si>
    <t xml:space="preserve">This paper presents a new method for the automatic detection of cars in unmanned aerial vehicle (UAV) images acquired over urban contexts. UAV images are characterized by an extremely high spatial resolution, which makes the detection of cars particularly challenging. The proposed method starts with a screening operation in which the asphalted areas are identified in order to make the car detection process faster and more robust. Subsequently, filtering operations in the horizontal and vertical directions are performed to extract histogram-of-gradient features and to yield a preliminary detection of cars after the computation of a similarity measure with a catalog of cars used as reference. …</t>
  </si>
  <si>
    <t xml:space="preserve">Detekcija automobila u UAV snimkama</t>
  </si>
  <si>
    <t xml:space="preserve">Using robotic aircraft and intelligent surveillance systems for orange hawkweed detection</t>
  </si>
  <si>
    <t xml:space="preserve">Plant protection quarterly</t>
  </si>
  <si>
    <t xml:space="preserve">Biological Control of Invasive Species</t>
  </si>
  <si>
    <t xml:space="preserve">https://openalex.org/W2410638667</t>
  </si>
  <si>
    <t xml:space="preserve">Remote sensing using robotic aircraft (either Unmanned Aerial Vehicles (UAVs) or remotely piloted) can be an efficient and cost-effective way of collecting geo-spatial information over large areas. Furthermore, the large amounts of data collected by these systems can be handled by intelligent software systems that are able to autonomously classify the data. The Australian Centre for Field Robotics (ACFR) has been using aerial robots for environmental monitoring and has developed algorithms to support weed detection and mapping projects. The algorithm research at the ACFR has led to various intelligent detection and mapping software systems for accurate terrain mapping, vegetation segmentatio…</t>
  </si>
  <si>
    <t xml:space="preserve">Detekcija korova (hawkweed) UAV-om</t>
  </si>
  <si>
    <t xml:space="preserve">An Improved Marriage in Honey Bees Optimization Algorithm for Single Objective Unconstrained Optimization</t>
  </si>
  <si>
    <t xml:space="preserve">The Scientific World JOURNAL</t>
  </si>
  <si>
    <t xml:space="preserve">Metaheuristic Optimization Algorithms Research</t>
  </si>
  <si>
    <t xml:space="preserve">https://openalex.org/W1987545539</t>
  </si>
  <si>
    <t xml:space="preserve">https://doi.org/10.1155/2013/370172</t>
  </si>
  <si>
    <t xml:space="preserve">Marriage in honey bees optimization (MBO) is a metaheuristic optimization algorithm developed by inspiration of the mating and fertilization process of honey bees and is a kind of swarm intelligence optimizations. In this study we propose improved marriage in honey bees optimization (IMBO) by adding Levy flight algorithm for queen mating flight and neighboring for worker drone improving. The IMBO algorithm's performance and its success are tested on the well-known six unconstrained test functions and compared with other metaheuristic optimization algorithms.</t>
  </si>
  <si>
    <t xml:space="preserve">Algoritam „ženidbe pčela“</t>
  </si>
  <si>
    <t xml:space="preserve">DETERMINATION OF THE AERODYNAMIC CHARACTERISTICS FOR AGRICULTURAL UAVS IN UNSTEADY FLOW</t>
  </si>
  <si>
    <t xml:space="preserve">Information systems mechanics and control</t>
  </si>
  <si>
    <t xml:space="preserve">Aerospace Engineering and Control Systems</t>
  </si>
  <si>
    <t xml:space="preserve">https://openalex.org/W2563637060</t>
  </si>
  <si>
    <t xml:space="preserve">https://doi.org/10.20535/2219-380411201450598</t>
  </si>
  <si>
    <t xml:space="preserve">The purpose of work is estimation of unsteady flow influence on the aerodynamic characteristics of the aircraft with several lifting surfaces. The work presents characteristic features of specialized agricultural aircraft operation based on the specifics of modern agriculture.The most significant factors affecting the efficiency agricultural aircraft were identified.The features of a non-stationary aerodynamics for agricultural aircraft with several supporting surfaces were viewed and the calculation results of aerodynamic characteristics, which depend on the basic parameters of the lifting surfaces, were shown. The mutual influence of lifting surfaces on the aerodynamic characteristics of t…</t>
  </si>
  <si>
    <t xml:space="preserve">Aerodinamika poljoprivrednih UAV-a</t>
  </si>
  <si>
    <t xml:space="preserve">Modeling Glioma Growth and Invasion in Drosophila melanogaster</t>
  </si>
  <si>
    <t xml:space="preserve">Neoplasia</t>
  </si>
  <si>
    <t xml:space="preserve">Hippo pathway signaling and YAP/TAZ</t>
  </si>
  <si>
    <t xml:space="preserve">https://openalex.org/W1533413123</t>
  </si>
  <si>
    <t xml:space="preserve">https://doi.org/10.1593/neo.09576</t>
  </si>
  <si>
    <t xml:space="preserve">Glioblastoma is the most common and most malignant intrinsic human brain tumor, characterized by extensive invasion and proliferation of glial (astrocytic) tumor cells, frequent activation of tyrosine kinase receptor signaling pathways, relative resistance to chemotherapy and radiotherapy, and poor prognosis. Using the Gal4-UAS system, we have produced glioma models in Drosophila by overexpressing homologs of human tyrosine kinase receptors under control of the glia-specific promoter reversed polarity (repo). Glial overexpression of activated epidermal growth factor receptor (EGFR) resulted in enhanced proliferation and migration of larval glial cells with increased numbers in the eye imagin…</t>
  </si>
  <si>
    <t xml:space="preserve">Potential uses of small unmanned aircraft systems ( UAS ) in weed research</t>
  </si>
  <si>
    <t xml:space="preserve">Weed Research</t>
  </si>
  <si>
    <t xml:space="preserve">https://openalex.org/W2016718980</t>
  </si>
  <si>
    <t xml:space="preserve">https://doi.org/10.1111/wre.12026</t>
  </si>
  <si>
    <t xml:space="preserve">uas, unmanned aerial, unmanned aircraft</t>
  </si>
  <si>
    <t xml:space="preserve">Summary Small unmanned aerial systems (UAS) with cameras have not been adopted in weed research, but offer low‐cost sensing with high flexibility in terms of spatial resolution. A small rotary‐wing UAS was tested as part of a search for an inexpensive, user‐friendly and reliable aircraft for practical applications in UAS imagery weed research. In two experiments with post‐emergence weed harrowing in barley, the crop resistance parameter, which reflects the crop response to harrowing, was unaffected by image capture altitude in the range from 1 to 50 m. This corresponded to image spatial resolution in the range from 0.3 to 17.1 mm per pixel. This finding is important because spatial resolutio…</t>
  </si>
  <si>
    <t xml:space="preserve">UAS u istraživanju korova</t>
  </si>
  <si>
    <t xml:space="preserve">Complex pleiotropy characterizes the pollen hoarding syndrome in honey bees (Apis mellifera L.)</t>
  </si>
  <si>
    <t xml:space="preserve">Behavioral Ecology and Sociobiology</t>
  </si>
  <si>
    <t xml:space="preserve">Plant and animal studies</t>
  </si>
  <si>
    <t xml:space="preserve">https://openalex.org/W2073174331</t>
  </si>
  <si>
    <t xml:space="preserve">https://doi.org/10.1007/s00265-012-1400-x</t>
  </si>
  <si>
    <t xml:space="preserve">Nema UAV pojma (pčele)</t>
  </si>
  <si>
    <t xml:space="preserve">Drones and the Question of “The Human”</t>
  </si>
  <si>
    <t xml:space="preserve">Ethics &amp; International Affairs</t>
  </si>
  <si>
    <t xml:space="preserve">Middle East and Rwanda Conflicts</t>
  </si>
  <si>
    <t xml:space="preserve">https://openalex.org/W2103727054</t>
  </si>
  <si>
    <t xml:space="preserve">https://doi.org/10.1017/s0892679414000185</t>
  </si>
  <si>
    <t xml:space="preserve">Domino's Pizza is testing “Domicopter” drones to deliver pizzas, which will compete with Taco Bell's “Tacocopter” drones. Not to be outdone, Amazon is working on an army of delivery drones that will cut out the postal service. In Denmark, farmers use drones to inspect fields for the appearance of harmful weeds, which reduces herbicide use as the drones directly apply pesticides only where it is needed. Environmentalists send drones into glacial caves or into deep waters, gathering data that would be too dangerous or expensive for human scientists to procure. Federal Express dreams of pilotless aerial and terrestrial drones that will transport goods more cheaply, reliably, and safely than veh…</t>
  </si>
  <si>
    <t xml:space="preserve">Dronovi i „ljudsko“ (dostava)</t>
  </si>
  <si>
    <t xml:space="preserve">Dietary chlorantraniliprole suppresses reproduction in worker bumblebees</t>
  </si>
  <si>
    <t xml:space="preserve">https://openalex.org/W1930770503</t>
  </si>
  <si>
    <t xml:space="preserve">https://doi.org/10.1002/ps.3504</t>
  </si>
  <si>
    <t xml:space="preserve">BACKGROUND: Pollinators such as the bumblebee, Bombus terrestris, fulfil a crucial role in agriculture. In this context, tests were conducted with the insecticide chlorantraniliprole (Coragen®) as a model compound active on the ryanodine receptor of insects. RESULTS: Chronic oral exposure via pollen induced lethargic behaviour in B. terrestris workers and their offspring (drones). Indeed, in nests exposed to 0.4 mg L(-1) , representing 1/100 of the concentration recommended for use in the field, workers and drones did not take their defensive position upon stimulation and they were less active than non-exposed insects. The different risk assessment tests used here demonstrated that contact a…</t>
  </si>
  <si>
    <t xml:space="preserve">„drones“ = trutovi bumbara</t>
  </si>
  <si>
    <t xml:space="preserve">IL-10–producing forkhead box protein 3–negative regulatory T cells inhibit B-cell responses and are involved in systemic lupus erythematosus</t>
  </si>
  <si>
    <t xml:space="preserve">Journal of Allergy and Clinical Immunology</t>
  </si>
  <si>
    <t xml:space="preserve">T-cell and B-cell Immunology</t>
  </si>
  <si>
    <t xml:space="preserve">https://openalex.org/W2201837705</t>
  </si>
  <si>
    <t xml:space="preserve">https://doi.org/10.1016/j.jaci.2015.06.044</t>
  </si>
  <si>
    <t xml:space="preserve">Nema UAV pojma (imunologija)</t>
  </si>
  <si>
    <t xml:space="preserve">The evaluation of unmanned aerial system-based photogrammetry and terrestrial laser scanning to generate DEMs of agricultural watersheds</t>
  </si>
  <si>
    <t xml:space="preserve">Geomorphology</t>
  </si>
  <si>
    <t xml:space="preserve">https://openalex.org/W1971575659</t>
  </si>
  <si>
    <t xml:space="preserve">https://doi.org/10.1016/j.geomorph.2014.02.016</t>
  </si>
  <si>
    <t xml:space="preserve">UAS fotogrametrija DEM poljoprivrednih slivova</t>
  </si>
  <si>
    <t xml:space="preserve">That Other Story</t>
  </si>
  <si>
    <t xml:space="preserve">The Thomas Wolfe review</t>
  </si>
  <si>
    <t xml:space="preserve">Cuban History and Society</t>
  </si>
  <si>
    <t xml:space="preserve">https://openalex.org/W329866896</t>
  </si>
  <si>
    <t xml:space="preserve">A too-dark rope of oil drained down a few inches to the right of Tomby's face where he lay under Baby Blue, his hissed profanity muffled against the undercarriage. Car was his only hope of not getting trapped on base. He held his breath at a sound that might have been the crunch of safety boots, but the ground was quiet. The guy who sold him the car a couple hundred miles ago had clearly just added a pint to compensate for the slow leak he forgot to mention. Probably because he had orders for Vietnam. Selling it cheap. Thing about that guy was he lacked the boring gung-ho swagger. The gray eyes also didn't hurt. Tomby wiped and replaced the cap and tightened it down with his wrench and pushe…</t>
  </si>
  <si>
    <t xml:space="preserve">Književni tekst</t>
  </si>
  <si>
    <t xml:space="preserve">Concentration-Coverage Curve: A Tool for Ecological Studies. Copyright: Statistics Canada.</t>
  </si>
  <si>
    <t xml:space="preserve">Open Scholarship Institutional Repository (Washington University in St. Louis)</t>
  </si>
  <si>
    <t xml:space="preserve">Soil and Water Nutrient Dynamics</t>
  </si>
  <si>
    <t xml:space="preserve">https://openalex.org/W2952638625</t>
  </si>
  <si>
    <t xml:space="preserve">BACKGROUND: A selective approach may be used in an ecological study where the aim is to choose a subset of units of analysis (UAs) and produce interpretations about a population of interest (PI) based solely on those UAs. The results for the PI will be reliable if that population is concentrated in the selected UAs and rare in other UAs. This article presents a graphical tool that helps determine whether these conditions are satisfied. DATA AND METHODS: Data on the Inuit and Métis ancestry populations from the 1996 Census of Canada are used for illustrative purposes. Based on a classification statistics table, a concentration-coverage curve can be created for a given PI. The shape of the cur…</t>
  </si>
  <si>
    <t xml:space="preserve">„UAs“ = units of analysis</t>
  </si>
  <si>
    <t xml:space="preserve">Agronegócio e novas regionalizações no Brasil</t>
  </si>
  <si>
    <t xml:space="preserve">Revista Brasileira de Estudos Urbanos e Regionais</t>
  </si>
  <si>
    <t xml:space="preserve">Rural Development and Agriculture</t>
  </si>
  <si>
    <t xml:space="preserve">https://openalex.org/W1562086546</t>
  </si>
  <si>
    <t xml:space="preserve">https://doi.org/10.22296/2317-1529.2011v13n2p153</t>
  </si>
  <si>
    <t xml:space="preserve">rpas</t>
  </si>
  <si>
    <t xml:space="preserve">As transformações ocorridas na atividade agropecuária brasileira nas últimas cinco décadas têm profundos impactos sobre a (re)organização do território brasileiro, resultando em novos arranjos territoriais. Entre esses, destacam-se os inerentes ao agronegócio globalizado, áreas escolhidas para receber os mais expressivos investimentos produtivos do setor, representando suas áreas mais competitivas, as quais denominamos Regiões Produtivas Agrícolas (RPAs). Os principais objetivos desse texto são: debater a noção de RPA; apresentar os elementos de identificação e caracterização da mencionada região; aperfeiçoar o caminho analítico que vem sendo trilhado e incrementar a noção no contexto dos es…</t>
  </si>
  <si>
    <t xml:space="preserve">„RPAs“ = portugalski akronim</t>
  </si>
  <si>
    <t xml:space="preserve">Fontan Circulatory Assist Device1</t>
  </si>
  <si>
    <t xml:space="preserve">Journal of Medical Devices</t>
  </si>
  <si>
    <t xml:space="preserve">Mechanical Circulatory Support Devices</t>
  </si>
  <si>
    <t xml:space="preserve">https://openalex.org/W1534497196</t>
  </si>
  <si>
    <t xml:space="preserve">https://doi.org/10.1115/1.4030136</t>
  </si>
  <si>
    <t xml:space="preserve">The Fontan physiology is essentially a form of chronic right heart failure associated with elevated central venous pressures (CVP). Due to improvements in operative procedures, timing, staging, and management, operative mortality is now less than 5% and survival at 20 yr is 84% [1]. However, morbidity is significant due to venous congestion and elevated pulmonary vascular resistance (PVR), progressive ventricular dysfunction, dysrhythmias, hypoxemia, and protein-losing enteropathy. Heart transplantation in failed Fontan patients yields survival similar to non-Fontan patients. However, many Fontan patients are not considered for transplantation due to multi-organ failure, high PVR, prior surg…</t>
  </si>
  <si>
    <t xml:space="preserve">Nema UAV pojma (medicina)</t>
  </si>
  <si>
    <t xml:space="preserve">Tracking the potato late blight pathogen in the atmosphere using unmanned aerial vehicles and Lagrangian modeling</t>
  </si>
  <si>
    <t xml:space="preserve">Agricultural and Forest Meteorology</t>
  </si>
  <si>
    <t xml:space="preserve">Plant Pathogens and Resistance</t>
  </si>
  <si>
    <t xml:space="preserve">https://openalex.org/W2094160436</t>
  </si>
  <si>
    <t xml:space="preserve">https://doi.org/10.1016/j.agrformet.2010.10.013</t>
  </si>
  <si>
    <t xml:space="preserve">Patogen krumpira praćen UAV-om</t>
  </si>
  <si>
    <t xml:space="preserve">A Survey and Categorization of Small Low-Cost Unmanned Aerial Vehicle System Identification</t>
  </si>
  <si>
    <t xml:space="preserve">Journal of Intelligent &amp; Robotic Systems</t>
  </si>
  <si>
    <t xml:space="preserve">Aerospace and Aviation Technology</t>
  </si>
  <si>
    <t xml:space="preserve">https://openalex.org/W1993861190</t>
  </si>
  <si>
    <t xml:space="preserve">https://doi.org/10.1007/s10846-013-9931-6</t>
  </si>
  <si>
    <t xml:space="preserve">Identifikacija sustava malih UAV-a</t>
  </si>
  <si>
    <t xml:space="preserve">Premature birth is associated with not fully differentiated contractile smooth muscle cells in human umbilical artery</t>
  </si>
  <si>
    <t xml:space="preserve">Placenta</t>
  </si>
  <si>
    <t xml:space="preserve">Congenital heart defects research</t>
  </si>
  <si>
    <t xml:space="preserve">https://openalex.org/W2026767284</t>
  </si>
  <si>
    <t xml:space="preserve">https://doi.org/10.1016/j.placenta.2012.03.005</t>
  </si>
  <si>
    <t xml:space="preserve">UAS imaging-based decision tools for arid winter wheat and irrigated potato production management</t>
  </si>
  <si>
    <t xml:space="preserve">International Journal of Remote Sensing</t>
  </si>
  <si>
    <t xml:space="preserve">https://openalex.org/W2221198076</t>
  </si>
  <si>
    <t xml:space="preserve">https://doi.org/10.1080/01431161.2015.1117685</t>
  </si>
  <si>
    <t xml:space="preserve">uas, unmanned aerial</t>
  </si>
  <si>
    <t xml:space="preserve">Small unmanned aerial systems (UAS) are gaining global attention for rapid image-based decision making in agricultural production. In this study, the aim was to evaluate UAS-based imagery for rapid assessment of wheat winter survival and spring stand in winter wheat production and crop necrosis in potato production. Both are critical aspects of field (arid) and row (irrigated) crop farming practices. Aerial images from 97 hard and 352 soft single nucleotide polymorphism winter wheat plots, and 32 potato field plots (with 1 and 2 years of green manure applications) were acquired using a multi-band imaging sensor integrated with UAS. The UAS-based imagery was useful in evaluating winter wheat …</t>
  </si>
  <si>
    <t xml:space="preserve">UAS alati za pšenicu i krumpir</t>
  </si>
  <si>
    <t xml:space="preserve">Experiment of straight and airline flight operation for farmland based on UAV in visual remote mode.</t>
  </si>
  <si>
    <t xml:space="preserve">Transactions of the Chinese Society of Agricultural Machinery</t>
  </si>
  <si>
    <t xml:space="preserve">Advanced Algorithms and Applications</t>
  </si>
  <si>
    <t xml:space="preserve">https://openalex.org/W3159473322</t>
  </si>
  <si>
    <t xml:space="preserve">Letovi UAV-a nad oranicama</t>
  </si>
  <si>
    <t xml:space="preserve">A Gain-of-Function Screen Identifying Genes Required for Growth and Pattern Formation of the Drosophila melanogaster Wing</t>
  </si>
  <si>
    <t xml:space="preserve">Developmental Biology and Gene Regulation</t>
  </si>
  <si>
    <t xml:space="preserve">https://openalex.org/W2156710834</t>
  </si>
  <si>
    <t xml:space="preserve">https://doi.org/10.1534/genetics.109.107748</t>
  </si>
  <si>
    <t xml:space="preserve">The Drosophila melanogaster wing is a model system for analyzing the genetic control of organ size, shape, and pattern formation. The formation of the wing involves a variety of processes, such as cell growth, proliferation, pattern formation, and differentiation. These developmental processes are under genetic control, and many genes participating in specific aspects of wing development have already being characterized. In this work, we aim to identify novel genes regulating wing growth and patterning. To this end, we have carried out a gain-of-function screen generating novel P-UAS (upstream activating sequences) insertions allowing forced gene expression. We produced 3,340 novel P-UAS ins…</t>
  </si>
  <si>
    <t xml:space="preserve">The Purine Synthesis Gene Prat2 Is Required for Drosophila Metamorphosis, as Revealed by Inverted-Repeat-Mediated RNA Interference</t>
  </si>
  <si>
    <t xml:space="preserve">CRISPR and Genetic Engineering</t>
  </si>
  <si>
    <t xml:space="preserve">https://openalex.org/W2157028755</t>
  </si>
  <si>
    <t xml:space="preserve">https://doi.org/10.1534/genetics.105.045641</t>
  </si>
  <si>
    <t xml:space="preserve">PRAT (phosphoribosylamidotransferase; E.C. 2.4.2.14) catalyzes the first reaction in de novo purine nucleotide biosynthesis. In Drosophila melanogaster, the Prat and Prat2 genes are both highly conserved with PRAT sequences from prokaryotes and eukaryotes. However, Prat2 organization and expression during development is different from Prat. We used RNA interference (RNAi) to knock down expression of both Prat and Prat2 to investigate their functions. Using the GAL4-UAS system, Prat RNAi driven by Act5c-GAL4 or tubP-GAL4 causes variable pupal lethality (48-100%) and approximately 50% female sterility, depending on the transgenic strains and drivers used. This observation agrees with the pheno…</t>
  </si>
  <si>
    <t xml:space="preserve">Ecological Benefits Evaluation in Ecological Migration Zone Based on Ecological Green Equivalent: A Case Study of Migration Zone in Yanchi County</t>
  </si>
  <si>
    <t xml:space="preserve">亚洲农业研究：英文版</t>
  </si>
  <si>
    <t xml:space="preserve">Land Use and Ecosystem Services</t>
  </si>
  <si>
    <t xml:space="preserve">https://openalex.org/W3142025330</t>
  </si>
  <si>
    <t xml:space="preserve">With four ecological migration zones in Huamachi Town of Yanchi County in Ningxia Autonomous Region as the object of study,we carry out the evaluation of ecological benefits in ecological migration zone. Using the SPOT satellite remote sensing image in 2008 and UAV aerophotographic image in 2013,we first monitor and analyze the land use change over five years in the study area,and then adopt ecological green equivalent evaluation model for the evaluation of ecological benefits in the ecological migration zone. Studies have shown that:( i) from 2008 to 2013,the ecological green equivalent in the study area was increased and the ecological environment was improved;( ii) the ecological green eq…</t>
  </si>
  <si>
    <t xml:space="preserve">Ekološka migracijska zona, UAV</t>
  </si>
  <si>
    <t xml:space="preserve">The cacophony Gene and Repetitive-pattern Phenotypes in Drosophila melanogaster</t>
  </si>
  <si>
    <t xml:space="preserve">DigitalCommons (California Polytechnic State University)</t>
  </si>
  <si>
    <t xml:space="preserve">Plant Molecular Biology Research</t>
  </si>
  <si>
    <t xml:space="preserve">https://openalex.org/W107716246</t>
  </si>
  <si>
    <t xml:space="preserve">The cacophony (cac) gene is located on the X-chromosome of Drosophila and codes for the a-1(pore-forming) subunit of a voltage-gated calcium channel. Certain mutations in this gene result in both an aberrant courtship song and a heartbeat with rate and rhythmicity significantly different from wild-type. The cacS mutants produce songs with polycyclic pulses, increased inter-pulse intervals and enhance pulse amplitudes compared with the songs of wild-type males. Given the repetitive patterns of output that define both courtship song and heartbeat in the cac mutant, the cac gene is a likely candidate for regulating or forming core oscillator components of such behaviors. To establish definitive…</t>
  </si>
  <si>
    <t xml:space="preserve">Effect of different ratios and levels of nitrogen and phosphorus fertilizers, and top dressing of nitrogen fertilizers on growth and yield of groundnut</t>
  </si>
  <si>
    <t xml:space="preserve">Peanut Plant Research Studies</t>
  </si>
  <si>
    <t xml:space="preserve">https://openalex.org/W2531922452</t>
  </si>
  <si>
    <t xml:space="preserve">A field experiment was carried out during 2011 with fourteen ratios of nitrogen (N) and phosphorus (P2O5)
fertilizers with constant potassium level (25 kg K2O ha-1) on groundnut cultivar TAG 24 at MARS, UAS, Dharwad. The
dry pod yield increased due to increasing N/P ratios upto 0.78. The treatment receiving N/P fertilizer ratio of 0.57 (basal
application of 20 kg N, 60 kg P2O5, 25 kg K2O ha-1 + foliar application of nitrogen @ 7 kg N ha-1 at 45 days after sowing
and foliar application of nitrogen @ 7 kg N ha-1 at 60 days after sowing) recorded significantly higher dry pod yield
(4361 kg ha-1), number of filled pods plant-1 (24.27), total number of pods plant-1 (29.53), 100 pod weight (1…</t>
  </si>
  <si>
    <t xml:space="preserve">„UAS“ = University of Agricultural Sciences Dharwad</t>
  </si>
  <si>
    <t xml:space="preserve">Air photography with use of unmanned aerial vehicle for solution of agriculture and cadastre tasks</t>
  </si>
  <si>
    <t xml:space="preserve">CyberLeninK (CyberLeninka)</t>
  </si>
  <si>
    <t xml:space="preserve">Environmental Sustainability and Technology</t>
  </si>
  <si>
    <t xml:space="preserve">https://openalex.org/W42328935</t>
  </si>
  <si>
    <t xml:space="preserve">Issues of information provision for agriculture and cadastre according to air photography materials from unmanned aerial vehicle are consider ed in the article. Materials of experimental air photography from air plane and copter were used. The work suggests technology of executing works on photography and processing of materials. Air photography parameters were proposed according to image qualit y and requirements for ground images resolutions for solving tasks of cadastre and agriculture.</t>
  </si>
  <si>
    <t xml:space="preserve">UAV za poljoprivredu i katastar</t>
  </si>
  <si>
    <t xml:space="preserve">A Path Planning Algorithm for UAV Based on Skeleton Algorithm</t>
  </si>
  <si>
    <t xml:space="preserve">Electronics Optics &amp; Control</t>
  </si>
  <si>
    <t xml:space="preserve">Military Defense Systems Analysis</t>
  </si>
  <si>
    <t xml:space="preserve">https://openalex.org/W2363817629</t>
  </si>
  <si>
    <t xml:space="preserve">The Unmanned Aerial Vehicle(UAV) will play a more and more important role in the futureand how to improve its survival-rate and operational effectiveness has become focus of the path-planning.The threat-circles were simplified from threats of radarantiaircraft missile landformno-fly areas and so onand a skeleton diagram was constructed based on the distribution of the threat-circles.The skeleton graph yielded the feasible paths for travel between a set of threat-circles to avoid the threats.The vector graphics were consisted of the lines whose cost was calculated out according to the specific information of threats.The initial optimal path was obtainedwhich was shortened according to t…</t>
  </si>
  <si>
    <t xml:space="preserve">Planiranje putanje UAV-a (vojno)</t>
  </si>
  <si>
    <t xml:space="preserve">Highways in the Sky: Scales of Atmospheric Transport of Plant Pathogens</t>
  </si>
  <si>
    <t xml:space="preserve">Annual Review of Phytopathology</t>
  </si>
  <si>
    <t xml:space="preserve">https://openalex.org/W1918046236</t>
  </si>
  <si>
    <t xml:space="preserve">https://doi.org/10.1146/annurev-phyto-080614-115942</t>
  </si>
  <si>
    <t xml:space="preserve">drones, unmanned aircraft</t>
  </si>
  <si>
    <t xml:space="preserve">Many high-risk plant pathogens are transported over long distances (hundreds of meters to thousands of kilometers) in the atmosphere. The ability to track the movement of these pathogens in the atmosphere is essential for forecasting disease spread and establishing effective quarantine measures. Here, we discuss the scales of atmospheric dispersal of plant pathogens along a transport continuum (pathogen scale, farm scale, regional scale, and continental scale). Growers can use risk information at each of these dispersal scales to assist in making plant disease management decisions, such as the timely application of appropriate pesticides. Regional- and continental-scale atmospheric features …</t>
  </si>
  <si>
    <t xml:space="preserve">Uzorkovanje patogena biljaka UAS-om</t>
  </si>
  <si>
    <t xml:space="preserve">Control of VTOL vehicles with thrust-tilting augmentation</t>
  </si>
  <si>
    <t xml:space="preserve">Automatica</t>
  </si>
  <si>
    <t xml:space="preserve">https://openalex.org/W2034953796</t>
  </si>
  <si>
    <t xml:space="preserve">https://doi.org/10.1016/j.automatica.2014.10.129</t>
  </si>
  <si>
    <t xml:space="preserve">VTOL vozila (pojam nije u sažetku)</t>
  </si>
  <si>
    <t xml:space="preserve">FEATURES OF THE USE OF UNMANNED AERIAL VEHICLES FOR AGRICULTURE APPLICATIONS</t>
  </si>
  <si>
    <t xml:space="preserve">Aviation</t>
  </si>
  <si>
    <t xml:space="preserve">https://openalex.org/W2017278113</t>
  </si>
  <si>
    <t xml:space="preserve">https://doi.org/10.3846/16487788.2013.861224</t>
  </si>
  <si>
    <t xml:space="preserve">Micro-UAVs (unmanned aerial vehicles) with a total weight below 5 kg are interesting alternative carriers for agricultural applications. Compared to standard airborne aerial surveys, UAVs are much more flexible and weather independent. As a result, micro-UAV surveys will pave the way for affordable, current and accurate geo-information. This article deals with the general conditions and challenges for unmanned aerial vehicles that can be used for agricultural land monitoring. The article includes an overview of the structural characteristics and parameters of a UAV that has been developed for environmental monitoring by the Institute of Transport Vehicle Technology of Riga Technical Universi…</t>
  </si>
  <si>
    <t xml:space="preserve">UAV za poljoprivredne primjene</t>
  </si>
  <si>
    <t xml:space="preserve">Integrated Planning and Control of Rotary-wing Unmanned Aerial Vehicle Navigation</t>
  </si>
  <si>
    <t xml:space="preserve">Journal of Aerospace Computing Information and Communication</t>
  </si>
  <si>
    <t xml:space="preserve">https://openalex.org/W2028262445</t>
  </si>
  <si>
    <t xml:space="preserve">https://doi.org/10.2514/1.53862</t>
  </si>
  <si>
    <t xml:space="preserve">This paper presents an integrated planning and control algorithm for the navigation of an autonomous rotarywing unmanned aerial vehicle in a cluttered environment. The model predictive control combined with a potential fieldlike function integrates planning and control in a single step. This strategy enables the generation of dynamically feasible motion because the planning is done in the action space of the rotary-wing unmanned aerial vehicle. Moreover, it is able to respond promptly to abrupt changes in the environment because the reactive obstacleavoidance method only considers local sensory information. Finally, the shortsightedness of control-based reactive methods can be relieved by th…</t>
  </si>
  <si>
    <t xml:space="preserve">Navigacija rotorskog UAV-a</t>
  </si>
  <si>
    <t xml:space="preserve">Osjetljivost na definiciju upita (OpenAlex, dohvat 28. 8. 2026.): sirovi D AND A; čisti = sirovi NOT N (glavna serija); strogi = čisti NOT ekološki pojmovi</t>
  </si>
  <si>
    <t xml:space="preserve">core_drone_agro_raw</t>
  </si>
  <si>
    <t xml:space="preserve">core_drone_agro (čisti)</t>
  </si>
  <si>
    <t xml:space="preserve">strict_noenv</t>
  </si>
  <si>
    <t xml:space="preserve">omjer čisti/sirovi</t>
  </si>
  <si>
    <t xml:space="preserve">omjer strogi/čisti</t>
  </si>
  <si>
    <t xml:space="preserve">CAGR 2005–2025</t>
  </si>
  <si>
    <t xml:space="preserve">CAGR 2015–2025</t>
  </si>
  <si>
    <t xml:space="preserve">N = (drosophila OR gal4 OR transgene OR transgenic OR bee OR bees OR honeybee OR honeybees OR "honey bee" OR bumblebee OR apis OR urticaria OR aneurysm OR aneurysms OR patients OR "university of agricultural sciences"); ekološki pojmovi = (forest OR forests OR forestry OR wildlife OR ecology OR ecological OR biodiversity OR habitat OR wetland OR wetlands OR "protected area" OR wildfire OR marine OR coastal).</t>
  </si>
</sst>
</file>

<file path=xl/styles.xml><?xml version="1.0" encoding="utf-8"?>
<styleSheet xmlns="http://schemas.openxmlformats.org/spreadsheetml/2006/main">
  <numFmts count="5">
    <numFmt numFmtId="164" formatCode="General"/>
    <numFmt numFmtId="165" formatCode="0"/>
    <numFmt numFmtId="166" formatCode="0.0%"/>
    <numFmt numFmtId="167" formatCode="0.00"/>
    <numFmt numFmtId="168" formatCode="0.000"/>
  </numFmts>
  <fonts count="12">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0"/>
      <name val="Arial"/>
      <family val="0"/>
      <charset val="1"/>
    </font>
    <font>
      <b val="true"/>
      <sz val="10"/>
      <name val="Arial"/>
      <family val="0"/>
      <charset val="1"/>
    </font>
    <font>
      <sz val="9"/>
      <name val="Arial"/>
      <family val="0"/>
      <charset val="1"/>
    </font>
    <font>
      <i val="true"/>
      <sz val="9"/>
      <name val="Arial"/>
      <family val="0"/>
      <charset val="1"/>
    </font>
    <font>
      <u val="single"/>
      <sz val="10"/>
      <color rgb="FF0563C1"/>
      <name val="Arial"/>
      <family val="0"/>
      <charset val="1"/>
    </font>
    <font>
      <sz val="10"/>
      <name val="Noto Sans CJK SC"/>
      <family val="2"/>
    </font>
    <font>
      <sz val="10"/>
      <color rgb="FF0000FF"/>
      <name val="Arial"/>
      <family val="0"/>
      <charset val="1"/>
    </font>
  </fonts>
  <fills count="4">
    <fill>
      <patternFill patternType="none"/>
    </fill>
    <fill>
      <patternFill patternType="gray125"/>
    </fill>
    <fill>
      <patternFill patternType="solid">
        <fgColor rgb="FFD9E2F3"/>
        <bgColor rgb="FFCCFFFF"/>
      </patternFill>
    </fill>
    <fill>
      <patternFill patternType="solid">
        <fgColor rgb="FFFFFF00"/>
        <bgColor rgb="FFFFFF00"/>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center"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D9E2F3"/>
          <bgColor rgb="FF000000"/>
        </patternFill>
      </fill>
    </dxf>
    <dxf>
      <fill>
        <patternFill patternType="solid">
          <bgColor rgb="FF000000"/>
        </patternFill>
      </fill>
    </dxf>
    <dxf>
      <fill>
        <patternFill patternType="solid">
          <fgColor rgb="FF0563C1"/>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563C1"/>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openalex.org/W4390541202" TargetMode="External"/><Relationship Id="rId2" Type="http://schemas.openxmlformats.org/officeDocument/2006/relationships/hyperlink" Target="https://openalex.org/W4414888839" TargetMode="External"/><Relationship Id="rId3" Type="http://schemas.openxmlformats.org/officeDocument/2006/relationships/hyperlink" Target="https://openalex.org/W4391037627" TargetMode="External"/><Relationship Id="rId4" Type="http://schemas.openxmlformats.org/officeDocument/2006/relationships/hyperlink" Target="https://openalex.org/W3104898804" TargetMode="External"/><Relationship Id="rId5" Type="http://schemas.openxmlformats.org/officeDocument/2006/relationships/hyperlink" Target="https://openalex.org/W4405860565" TargetMode="External"/><Relationship Id="rId6" Type="http://schemas.openxmlformats.org/officeDocument/2006/relationships/hyperlink" Target="https://openalex.org/W2610778016" TargetMode="External"/><Relationship Id="rId7" Type="http://schemas.openxmlformats.org/officeDocument/2006/relationships/hyperlink" Target="https://openalex.org/W4413905115" TargetMode="External"/><Relationship Id="rId8" Type="http://schemas.openxmlformats.org/officeDocument/2006/relationships/hyperlink" Target="https://openalex.org/W2907362082" TargetMode="External"/><Relationship Id="rId9" Type="http://schemas.openxmlformats.org/officeDocument/2006/relationships/hyperlink" Target="https://openalex.org/W7114927957" TargetMode="External"/><Relationship Id="rId10" Type="http://schemas.openxmlformats.org/officeDocument/2006/relationships/hyperlink" Target="https://openalex.org/W4291414394" TargetMode="External"/><Relationship Id="rId11" Type="http://schemas.openxmlformats.org/officeDocument/2006/relationships/hyperlink" Target="https://openalex.org/W4385628948" TargetMode="External"/><Relationship Id="rId12" Type="http://schemas.openxmlformats.org/officeDocument/2006/relationships/hyperlink" Target="https://openalex.org/W4405198954" TargetMode="External"/><Relationship Id="rId13" Type="http://schemas.openxmlformats.org/officeDocument/2006/relationships/hyperlink" Target="https://openalex.org/W4403191573" TargetMode="External"/><Relationship Id="rId14" Type="http://schemas.openxmlformats.org/officeDocument/2006/relationships/hyperlink" Target="https://openalex.org/W7117823812" TargetMode="External"/><Relationship Id="rId15" Type="http://schemas.openxmlformats.org/officeDocument/2006/relationships/hyperlink" Target="https://openalex.org/W4415138409" TargetMode="External"/><Relationship Id="rId16" Type="http://schemas.openxmlformats.org/officeDocument/2006/relationships/hyperlink" Target="https://openalex.org/W7117541286" TargetMode="External"/><Relationship Id="rId17" Type="http://schemas.openxmlformats.org/officeDocument/2006/relationships/hyperlink" Target="https://openalex.org/W4386026715" TargetMode="External"/><Relationship Id="rId18" Type="http://schemas.openxmlformats.org/officeDocument/2006/relationships/hyperlink" Target="https://openalex.org/W4414937575" TargetMode="External"/><Relationship Id="rId19" Type="http://schemas.openxmlformats.org/officeDocument/2006/relationships/hyperlink" Target="https://openalex.org/W4415724199" TargetMode="External"/><Relationship Id="rId20" Type="http://schemas.openxmlformats.org/officeDocument/2006/relationships/hyperlink" Target="https://openalex.org/W4312829318" TargetMode="External"/><Relationship Id="rId21" Type="http://schemas.openxmlformats.org/officeDocument/2006/relationships/hyperlink" Target="https://openalex.org/W4405832294" TargetMode="External"/><Relationship Id="rId22" Type="http://schemas.openxmlformats.org/officeDocument/2006/relationships/hyperlink" Target="https://openalex.org/W2980753708" TargetMode="External"/><Relationship Id="rId23" Type="http://schemas.openxmlformats.org/officeDocument/2006/relationships/hyperlink" Target="https://openalex.org/W4404459725" TargetMode="External"/><Relationship Id="rId24" Type="http://schemas.openxmlformats.org/officeDocument/2006/relationships/hyperlink" Target="https://openalex.org/W4405071597" TargetMode="External"/><Relationship Id="rId25" Type="http://schemas.openxmlformats.org/officeDocument/2006/relationships/hyperlink" Target="https://openalex.org/W4390175531" TargetMode="External"/><Relationship Id="rId26" Type="http://schemas.openxmlformats.org/officeDocument/2006/relationships/hyperlink" Target="https://openalex.org/W4415709846" TargetMode="External"/><Relationship Id="rId27" Type="http://schemas.openxmlformats.org/officeDocument/2006/relationships/hyperlink" Target="https://openalex.org/W4309740547" TargetMode="External"/><Relationship Id="rId28" Type="http://schemas.openxmlformats.org/officeDocument/2006/relationships/hyperlink" Target="https://openalex.org/W7125598232" TargetMode="External"/><Relationship Id="rId29" Type="http://schemas.openxmlformats.org/officeDocument/2006/relationships/hyperlink" Target="https://openalex.org/W3008279115" TargetMode="External"/><Relationship Id="rId30" Type="http://schemas.openxmlformats.org/officeDocument/2006/relationships/hyperlink" Target="https://openalex.org/W4296312479" TargetMode="External"/><Relationship Id="rId31" Type="http://schemas.openxmlformats.org/officeDocument/2006/relationships/hyperlink" Target="https://openalex.org/W4383535198" TargetMode="External"/><Relationship Id="rId32" Type="http://schemas.openxmlformats.org/officeDocument/2006/relationships/hyperlink" Target="https://openalex.org/W4412946616" TargetMode="External"/><Relationship Id="rId33" Type="http://schemas.openxmlformats.org/officeDocument/2006/relationships/hyperlink" Target="https://openalex.org/W4412848898" TargetMode="External"/><Relationship Id="rId34" Type="http://schemas.openxmlformats.org/officeDocument/2006/relationships/hyperlink" Target="https://openalex.org/W2905100780" TargetMode="External"/><Relationship Id="rId35" Type="http://schemas.openxmlformats.org/officeDocument/2006/relationships/hyperlink" Target="https://openalex.org/W4304112899" TargetMode="External"/><Relationship Id="rId36" Type="http://schemas.openxmlformats.org/officeDocument/2006/relationships/hyperlink" Target="https://openalex.org/W4401354339" TargetMode="External"/><Relationship Id="rId37" Type="http://schemas.openxmlformats.org/officeDocument/2006/relationships/hyperlink" Target="https://openalex.org/W4404433990" TargetMode="External"/><Relationship Id="rId38" Type="http://schemas.openxmlformats.org/officeDocument/2006/relationships/hyperlink" Target="https://openalex.org/W4396955019" TargetMode="External"/><Relationship Id="rId39" Type="http://schemas.openxmlformats.org/officeDocument/2006/relationships/hyperlink" Target="https://openalex.org/W4410999635" TargetMode="External"/><Relationship Id="rId40" Type="http://schemas.openxmlformats.org/officeDocument/2006/relationships/hyperlink" Target="https://openalex.org/W1968314959" TargetMode="External"/><Relationship Id="rId41" Type="http://schemas.openxmlformats.org/officeDocument/2006/relationships/hyperlink" Target="https://openalex.org/W4404440748" TargetMode="External"/><Relationship Id="rId42" Type="http://schemas.openxmlformats.org/officeDocument/2006/relationships/hyperlink" Target="https://openalex.org/W4402196816" TargetMode="External"/><Relationship Id="rId43" Type="http://schemas.openxmlformats.org/officeDocument/2006/relationships/hyperlink" Target="https://openalex.org/W4360826362" TargetMode="External"/><Relationship Id="rId44" Type="http://schemas.openxmlformats.org/officeDocument/2006/relationships/hyperlink" Target="https://openalex.org/W2136090914" TargetMode="External"/><Relationship Id="rId45" Type="http://schemas.openxmlformats.org/officeDocument/2006/relationships/hyperlink" Target="https://openalex.org/W3174275103" TargetMode="External"/><Relationship Id="rId46" Type="http://schemas.openxmlformats.org/officeDocument/2006/relationships/hyperlink" Target="https://openalex.org/W4396955018" TargetMode="External"/><Relationship Id="rId47" Type="http://schemas.openxmlformats.org/officeDocument/2006/relationships/hyperlink" Target="https://openalex.org/W3023299871" TargetMode="External"/><Relationship Id="rId48" Type="http://schemas.openxmlformats.org/officeDocument/2006/relationships/hyperlink" Target="https://openalex.org/W1023572571" TargetMode="External"/><Relationship Id="rId49" Type="http://schemas.openxmlformats.org/officeDocument/2006/relationships/hyperlink" Target="https://openalex.org/W4285095462" TargetMode="External"/><Relationship Id="rId50" Type="http://schemas.openxmlformats.org/officeDocument/2006/relationships/hyperlink" Target="https://openalex.org/W3180151162" TargetMode="External"/><Relationship Id="rId51" Type="http://schemas.openxmlformats.org/officeDocument/2006/relationships/hyperlink" Target="https://openalex.org/W4392586286" TargetMode="External"/><Relationship Id="rId52" Type="http://schemas.openxmlformats.org/officeDocument/2006/relationships/hyperlink" Target="https://openalex.org/W4281656810" TargetMode="External"/><Relationship Id="rId53" Type="http://schemas.openxmlformats.org/officeDocument/2006/relationships/hyperlink" Target="https://openalex.org/W4411542673" TargetMode="External"/><Relationship Id="rId54" Type="http://schemas.openxmlformats.org/officeDocument/2006/relationships/hyperlink" Target="https://openalex.org/W2133808775" TargetMode="External"/><Relationship Id="rId55" Type="http://schemas.openxmlformats.org/officeDocument/2006/relationships/hyperlink" Target="https://openalex.org/W1165425494" TargetMode="External"/><Relationship Id="rId56" Type="http://schemas.openxmlformats.org/officeDocument/2006/relationships/hyperlink" Target="https://openalex.org/W4387653126" TargetMode="External"/><Relationship Id="rId57" Type="http://schemas.openxmlformats.org/officeDocument/2006/relationships/hyperlink" Target="https://openalex.org/W2592285551" TargetMode="External"/><Relationship Id="rId58" Type="http://schemas.openxmlformats.org/officeDocument/2006/relationships/hyperlink" Target="https://openalex.org/W4224659716" TargetMode="External"/><Relationship Id="rId59" Type="http://schemas.openxmlformats.org/officeDocument/2006/relationships/hyperlink" Target="https://openalex.org/W4410465179" TargetMode="External"/><Relationship Id="rId60" Type="http://schemas.openxmlformats.org/officeDocument/2006/relationships/hyperlink" Target="https://openalex.org/W7117623597" TargetMode="External"/><Relationship Id="rId61" Type="http://schemas.openxmlformats.org/officeDocument/2006/relationships/hyperlink" Target="https://openalex.org/W4365514608" TargetMode="External"/><Relationship Id="rId62" Type="http://schemas.openxmlformats.org/officeDocument/2006/relationships/hyperlink" Target="https://openalex.org/W2621510117" TargetMode="External"/><Relationship Id="rId63" Type="http://schemas.openxmlformats.org/officeDocument/2006/relationships/hyperlink" Target="https://openalex.org/W4415743546" TargetMode="External"/><Relationship Id="rId64" Type="http://schemas.openxmlformats.org/officeDocument/2006/relationships/hyperlink" Target="https://openalex.org/W4400144873" TargetMode="External"/><Relationship Id="rId65" Type="http://schemas.openxmlformats.org/officeDocument/2006/relationships/hyperlink" Target="https://openalex.org/W4365518480" TargetMode="External"/><Relationship Id="rId66" Type="http://schemas.openxmlformats.org/officeDocument/2006/relationships/hyperlink" Target="https://openalex.org/W2767496368" TargetMode="External"/><Relationship Id="rId67" Type="http://schemas.openxmlformats.org/officeDocument/2006/relationships/hyperlink" Target="https://openalex.org/W2017014841" TargetMode="External"/><Relationship Id="rId68" Type="http://schemas.openxmlformats.org/officeDocument/2006/relationships/hyperlink" Target="https://openalex.org/W3184071970" TargetMode="External"/><Relationship Id="rId69" Type="http://schemas.openxmlformats.org/officeDocument/2006/relationships/hyperlink" Target="https://openalex.org/W4411929363" TargetMode="External"/><Relationship Id="rId70" Type="http://schemas.openxmlformats.org/officeDocument/2006/relationships/hyperlink" Target="https://openalex.org/W2045495014" TargetMode="External"/><Relationship Id="rId71" Type="http://schemas.openxmlformats.org/officeDocument/2006/relationships/hyperlink" Target="https://openalex.org/W3150615185" TargetMode="External"/><Relationship Id="rId72" Type="http://schemas.openxmlformats.org/officeDocument/2006/relationships/hyperlink" Target="https://openalex.org/W4405264211" TargetMode="External"/><Relationship Id="rId73" Type="http://schemas.openxmlformats.org/officeDocument/2006/relationships/hyperlink" Target="https://openalex.org/W4409428170" TargetMode="External"/><Relationship Id="rId74" Type="http://schemas.openxmlformats.org/officeDocument/2006/relationships/hyperlink" Target="https://openalex.org/W4407180634" TargetMode="External"/><Relationship Id="rId75" Type="http://schemas.openxmlformats.org/officeDocument/2006/relationships/hyperlink" Target="https://openalex.org/W4417537437" TargetMode="External"/><Relationship Id="rId76" Type="http://schemas.openxmlformats.org/officeDocument/2006/relationships/hyperlink" Target="https://openalex.org/W2884335044" TargetMode="External"/><Relationship Id="rId77" Type="http://schemas.openxmlformats.org/officeDocument/2006/relationships/hyperlink" Target="https://openalex.org/W4417055510" TargetMode="External"/><Relationship Id="rId78" Type="http://schemas.openxmlformats.org/officeDocument/2006/relationships/hyperlink" Target="https://openalex.org/W4406132323" TargetMode="External"/><Relationship Id="rId79" Type="http://schemas.openxmlformats.org/officeDocument/2006/relationships/hyperlink" Target="https://openalex.org/W4292258994" TargetMode="External"/><Relationship Id="rId80" Type="http://schemas.openxmlformats.org/officeDocument/2006/relationships/hyperlink" Target="https://openalex.org/W4388015873" TargetMode="External"/><Relationship Id="rId81" Type="http://schemas.openxmlformats.org/officeDocument/2006/relationships/hyperlink" Target="https://openalex.org/W4319990454" TargetMode="External"/><Relationship Id="rId82" Type="http://schemas.openxmlformats.org/officeDocument/2006/relationships/hyperlink" Target="https://openalex.org/W2768821646" TargetMode="External"/><Relationship Id="rId83" Type="http://schemas.openxmlformats.org/officeDocument/2006/relationships/hyperlink" Target="https://openalex.org/W4415041591" TargetMode="External"/><Relationship Id="rId84" Type="http://schemas.openxmlformats.org/officeDocument/2006/relationships/hyperlink" Target="https://openalex.org/W4409384098" TargetMode="External"/><Relationship Id="rId85" Type="http://schemas.openxmlformats.org/officeDocument/2006/relationships/hyperlink" Target="https://openalex.org/W4399715967" TargetMode="External"/><Relationship Id="rId86" Type="http://schemas.openxmlformats.org/officeDocument/2006/relationships/hyperlink" Target="https://openalex.org/W4415540653" TargetMode="External"/><Relationship Id="rId87" Type="http://schemas.openxmlformats.org/officeDocument/2006/relationships/hyperlink" Target="https://openalex.org/W7104373225" TargetMode="External"/><Relationship Id="rId88" Type="http://schemas.openxmlformats.org/officeDocument/2006/relationships/hyperlink" Target="https://openalex.org/W4389844005" TargetMode="External"/><Relationship Id="rId89" Type="http://schemas.openxmlformats.org/officeDocument/2006/relationships/hyperlink" Target="https://openalex.org/W4408805840" TargetMode="External"/><Relationship Id="rId90" Type="http://schemas.openxmlformats.org/officeDocument/2006/relationships/hyperlink" Target="https://openalex.org/W4402597053" TargetMode="External"/><Relationship Id="rId91" Type="http://schemas.openxmlformats.org/officeDocument/2006/relationships/hyperlink" Target="https://openalex.org/W2278773080" TargetMode="External"/><Relationship Id="rId92" Type="http://schemas.openxmlformats.org/officeDocument/2006/relationships/hyperlink" Target="https://openalex.org/W2140100489" TargetMode="External"/><Relationship Id="rId93" Type="http://schemas.openxmlformats.org/officeDocument/2006/relationships/hyperlink" Target="https://openalex.org/W3170301160" TargetMode="External"/><Relationship Id="rId94" Type="http://schemas.openxmlformats.org/officeDocument/2006/relationships/hyperlink" Target="https://openalex.org/W3129693044" TargetMode="External"/><Relationship Id="rId95" Type="http://schemas.openxmlformats.org/officeDocument/2006/relationships/hyperlink" Target="https://openalex.org/W2904168886" TargetMode="External"/><Relationship Id="rId96" Type="http://schemas.openxmlformats.org/officeDocument/2006/relationships/hyperlink" Target="https://openalex.org/W4412922984" TargetMode="External"/><Relationship Id="rId97" Type="http://schemas.openxmlformats.org/officeDocument/2006/relationships/hyperlink" Target="https://openalex.org/W4415601036" TargetMode="External"/><Relationship Id="rId98" Type="http://schemas.openxmlformats.org/officeDocument/2006/relationships/hyperlink" Target="https://openalex.org/W3106723231" TargetMode="External"/><Relationship Id="rId99" Type="http://schemas.openxmlformats.org/officeDocument/2006/relationships/hyperlink" Target="https://openalex.org/W3198108106" TargetMode="External"/><Relationship Id="rId100" Type="http://schemas.openxmlformats.org/officeDocument/2006/relationships/hyperlink" Target="https://openalex.org/W1505446208" TargetMode="External"/><Relationship Id="rId10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hyperlink" Target="https://openalex.org/W4233763440" TargetMode="External"/><Relationship Id="rId2" Type="http://schemas.openxmlformats.org/officeDocument/2006/relationships/hyperlink" Target="https://openalex.org/W1986281840" TargetMode="External"/><Relationship Id="rId3" Type="http://schemas.openxmlformats.org/officeDocument/2006/relationships/hyperlink" Target="https://openalex.org/W2060213987" TargetMode="External"/><Relationship Id="rId4" Type="http://schemas.openxmlformats.org/officeDocument/2006/relationships/hyperlink" Target="https://openalex.org/W2564183401" TargetMode="External"/><Relationship Id="rId5" Type="http://schemas.openxmlformats.org/officeDocument/2006/relationships/hyperlink" Target="https://openalex.org/W2110698131" TargetMode="External"/><Relationship Id="rId6" Type="http://schemas.openxmlformats.org/officeDocument/2006/relationships/hyperlink" Target="https://openalex.org/W2970191788" TargetMode="External"/><Relationship Id="rId7" Type="http://schemas.openxmlformats.org/officeDocument/2006/relationships/hyperlink" Target="https://openalex.org/W2147646531" TargetMode="External"/><Relationship Id="rId8" Type="http://schemas.openxmlformats.org/officeDocument/2006/relationships/hyperlink" Target="https://openalex.org/W2270439011" TargetMode="External"/><Relationship Id="rId9" Type="http://schemas.openxmlformats.org/officeDocument/2006/relationships/hyperlink" Target="https://openalex.org/W2554945760" TargetMode="External"/><Relationship Id="rId10" Type="http://schemas.openxmlformats.org/officeDocument/2006/relationships/hyperlink" Target="https://openalex.org/W1950343464" TargetMode="External"/><Relationship Id="rId11" Type="http://schemas.openxmlformats.org/officeDocument/2006/relationships/hyperlink" Target="https://openalex.org/W2014279843" TargetMode="External"/><Relationship Id="rId12" Type="http://schemas.openxmlformats.org/officeDocument/2006/relationships/hyperlink" Target="https://openalex.org/W329917040" TargetMode="External"/><Relationship Id="rId13" Type="http://schemas.openxmlformats.org/officeDocument/2006/relationships/hyperlink" Target="https://openalex.org/W2970423453" TargetMode="External"/><Relationship Id="rId14" Type="http://schemas.openxmlformats.org/officeDocument/2006/relationships/hyperlink" Target="https://openalex.org/W1949466286" TargetMode="External"/><Relationship Id="rId15" Type="http://schemas.openxmlformats.org/officeDocument/2006/relationships/hyperlink" Target="https://openalex.org/W2144049291" TargetMode="External"/><Relationship Id="rId16" Type="http://schemas.openxmlformats.org/officeDocument/2006/relationships/hyperlink" Target="https://openalex.org/W1996228435" TargetMode="External"/><Relationship Id="rId17" Type="http://schemas.openxmlformats.org/officeDocument/2006/relationships/hyperlink" Target="https://openalex.org/W2094917509" TargetMode="External"/><Relationship Id="rId18" Type="http://schemas.openxmlformats.org/officeDocument/2006/relationships/hyperlink" Target="https://openalex.org/W1983903878" TargetMode="External"/><Relationship Id="rId19" Type="http://schemas.openxmlformats.org/officeDocument/2006/relationships/hyperlink" Target="https://openalex.org/W2526391094" TargetMode="External"/><Relationship Id="rId20" Type="http://schemas.openxmlformats.org/officeDocument/2006/relationships/hyperlink" Target="https://openalex.org/W2043552486" TargetMode="External"/><Relationship Id="rId21" Type="http://schemas.openxmlformats.org/officeDocument/2006/relationships/hyperlink" Target="https://openalex.org/W2410638667" TargetMode="External"/><Relationship Id="rId22" Type="http://schemas.openxmlformats.org/officeDocument/2006/relationships/hyperlink" Target="https://openalex.org/W1987545539" TargetMode="External"/><Relationship Id="rId23" Type="http://schemas.openxmlformats.org/officeDocument/2006/relationships/hyperlink" Target="https://openalex.org/W2563637060" TargetMode="External"/><Relationship Id="rId24" Type="http://schemas.openxmlformats.org/officeDocument/2006/relationships/hyperlink" Target="https://openalex.org/W1533413123" TargetMode="External"/><Relationship Id="rId25" Type="http://schemas.openxmlformats.org/officeDocument/2006/relationships/hyperlink" Target="https://openalex.org/W2016718980" TargetMode="External"/><Relationship Id="rId26" Type="http://schemas.openxmlformats.org/officeDocument/2006/relationships/hyperlink" Target="https://openalex.org/W2073174331" TargetMode="External"/><Relationship Id="rId27" Type="http://schemas.openxmlformats.org/officeDocument/2006/relationships/hyperlink" Target="https://openalex.org/W2103727054" TargetMode="External"/><Relationship Id="rId28" Type="http://schemas.openxmlformats.org/officeDocument/2006/relationships/hyperlink" Target="https://openalex.org/W1930770503" TargetMode="External"/><Relationship Id="rId29" Type="http://schemas.openxmlformats.org/officeDocument/2006/relationships/hyperlink" Target="https://openalex.org/W2201837705" TargetMode="External"/><Relationship Id="rId30" Type="http://schemas.openxmlformats.org/officeDocument/2006/relationships/hyperlink" Target="https://openalex.org/W1971575659" TargetMode="External"/><Relationship Id="rId31" Type="http://schemas.openxmlformats.org/officeDocument/2006/relationships/hyperlink" Target="https://openalex.org/W329866896" TargetMode="External"/><Relationship Id="rId32" Type="http://schemas.openxmlformats.org/officeDocument/2006/relationships/hyperlink" Target="https://openalex.org/W2952638625" TargetMode="External"/><Relationship Id="rId33" Type="http://schemas.openxmlformats.org/officeDocument/2006/relationships/hyperlink" Target="https://openalex.org/W1562086546" TargetMode="External"/><Relationship Id="rId34" Type="http://schemas.openxmlformats.org/officeDocument/2006/relationships/hyperlink" Target="https://openalex.org/W1534497196" TargetMode="External"/><Relationship Id="rId35" Type="http://schemas.openxmlformats.org/officeDocument/2006/relationships/hyperlink" Target="https://openalex.org/W2094160436" TargetMode="External"/><Relationship Id="rId36" Type="http://schemas.openxmlformats.org/officeDocument/2006/relationships/hyperlink" Target="https://openalex.org/W1993861190" TargetMode="External"/><Relationship Id="rId37" Type="http://schemas.openxmlformats.org/officeDocument/2006/relationships/hyperlink" Target="https://openalex.org/W2026767284" TargetMode="External"/><Relationship Id="rId38" Type="http://schemas.openxmlformats.org/officeDocument/2006/relationships/hyperlink" Target="https://openalex.org/W2221198076" TargetMode="External"/><Relationship Id="rId39" Type="http://schemas.openxmlformats.org/officeDocument/2006/relationships/hyperlink" Target="https://openalex.org/W3159473322" TargetMode="External"/><Relationship Id="rId40" Type="http://schemas.openxmlformats.org/officeDocument/2006/relationships/hyperlink" Target="https://openalex.org/W2156710834" TargetMode="External"/><Relationship Id="rId41" Type="http://schemas.openxmlformats.org/officeDocument/2006/relationships/hyperlink" Target="https://openalex.org/W2157028755" TargetMode="External"/><Relationship Id="rId42" Type="http://schemas.openxmlformats.org/officeDocument/2006/relationships/hyperlink" Target="https://openalex.org/W3142025330" TargetMode="External"/><Relationship Id="rId43" Type="http://schemas.openxmlformats.org/officeDocument/2006/relationships/hyperlink" Target="https://openalex.org/W107716246" TargetMode="External"/><Relationship Id="rId44" Type="http://schemas.openxmlformats.org/officeDocument/2006/relationships/hyperlink" Target="https://openalex.org/W2531922452" TargetMode="External"/><Relationship Id="rId45" Type="http://schemas.openxmlformats.org/officeDocument/2006/relationships/hyperlink" Target="https://openalex.org/W42328935" TargetMode="External"/><Relationship Id="rId46" Type="http://schemas.openxmlformats.org/officeDocument/2006/relationships/hyperlink" Target="https://openalex.org/W2363817629" TargetMode="External"/><Relationship Id="rId47" Type="http://schemas.openxmlformats.org/officeDocument/2006/relationships/hyperlink" Target="https://openalex.org/W1918046236" TargetMode="External"/><Relationship Id="rId48" Type="http://schemas.openxmlformats.org/officeDocument/2006/relationships/hyperlink" Target="https://openalex.org/W2034953796" TargetMode="External"/><Relationship Id="rId49" Type="http://schemas.openxmlformats.org/officeDocument/2006/relationships/hyperlink" Target="https://openalex.org/W2017278113" TargetMode="External"/><Relationship Id="rId50" Type="http://schemas.openxmlformats.org/officeDocument/2006/relationships/hyperlink" Target="https://openalex.org/W2028262445" TargetMode="External"/><Relationship Id="rId5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23.85" hidden="false" customHeight="false" outlineLevel="0" collapsed="false">
      <c r="A4" s="2" t="s">
        <v>2</v>
      </c>
    </row>
    <row r="5" customFormat="false" ht="23.85" hidden="false" customHeight="false" outlineLevel="0" collapsed="false">
      <c r="A5" s="2" t="s">
        <v>3</v>
      </c>
    </row>
    <row r="6" customFormat="false" ht="23.85" hidden="false" customHeight="false" outlineLevel="0" collapsed="false">
      <c r="A6" s="2" t="s">
        <v>4</v>
      </c>
    </row>
    <row r="7" customFormat="false" ht="15" hidden="false" customHeight="false" outlineLevel="0" collapsed="false">
      <c r="A7" s="2"/>
    </row>
    <row r="8" customFormat="false" ht="35.05" hidden="false" customHeight="false" outlineLevel="0" collapsed="false">
      <c r="A8" s="2" t="s">
        <v>5</v>
      </c>
    </row>
    <row r="9" customFormat="false" ht="15" hidden="false" customHeight="false" outlineLevel="0" collapsed="false">
      <c r="A9" s="2"/>
    </row>
    <row r="10" customFormat="false" ht="15" hidden="false" customHeight="false" outlineLevel="0" collapsed="false">
      <c r="A10" s="2" t="s">
        <v>6</v>
      </c>
    </row>
    <row r="11" customFormat="false" ht="15" hidden="false" customHeight="false" outlineLevel="0" collapsed="false">
      <c r="A11" s="2"/>
    </row>
    <row r="12" customFormat="false" ht="23.85" hidden="false" customHeight="false" outlineLevel="0" collapsed="false">
      <c r="A12" s="2" t="s">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14"/>
  </cols>
  <sheetData>
    <row r="1" customFormat="false" ht="15" hidden="false" customHeight="false" outlineLevel="0" collapsed="false">
      <c r="A1" s="3" t="s">
        <v>8</v>
      </c>
    </row>
    <row r="3" customFormat="false" ht="15" hidden="false" customHeight="false" outlineLevel="0" collapsed="false">
      <c r="A3" s="4" t="s">
        <v>9</v>
      </c>
    </row>
    <row r="4" customFormat="false" ht="15" hidden="false" customHeight="false" outlineLevel="0" collapsed="false">
      <c r="A4" s="5" t="s">
        <v>10</v>
      </c>
      <c r="B4" s="6" t="n">
        <f aca="false">COUNTIFS(Uzorak_100!$L$5:$L$104,"A",Uzorak_100!$N$5:$N$104,"da")+COUNTIFS(Uzorak_100!$L$5:$L$104,"B",Uzorak_100!$N$5:$N$104,"da")+COUNTIFS(Uzorak_100!$L$5:$L$104,"C",Uzorak_100!$N$5:$N$104,"da")</f>
        <v>94</v>
      </c>
    </row>
    <row r="5" customFormat="false" ht="15" hidden="false" customHeight="false" outlineLevel="0" collapsed="false">
      <c r="A5" s="5" t="s">
        <v>11</v>
      </c>
      <c r="B5" s="6" t="n">
        <f aca="false">COUNTIFS(Uzorak_100!$L$5:$L$104,"A",Uzorak_100!$N$5:$N$104,"da")</f>
        <v>57</v>
      </c>
    </row>
    <row r="6" customFormat="false" ht="15" hidden="false" customHeight="false" outlineLevel="0" collapsed="false">
      <c r="A6" s="5" t="s">
        <v>12</v>
      </c>
      <c r="B6" s="6" t="n">
        <f aca="false">COUNTIFS(Uzorak_100!$L$5:$L$104,"B",Uzorak_100!$N$5:$N$104,"da")</f>
        <v>29</v>
      </c>
    </row>
    <row r="7" customFormat="false" ht="15" hidden="false" customHeight="false" outlineLevel="0" collapsed="false">
      <c r="A7" s="5" t="s">
        <v>13</v>
      </c>
      <c r="B7" s="6" t="n">
        <f aca="false">COUNTIFS(Uzorak_100!$L$5:$L$104,"C",Uzorak_100!$N$5:$N$104,"da")</f>
        <v>8</v>
      </c>
    </row>
    <row r="8" customFormat="false" ht="15" hidden="false" customHeight="false" outlineLevel="0" collapsed="false">
      <c r="A8" s="5" t="s">
        <v>14</v>
      </c>
      <c r="B8" s="7" t="n">
        <f aca="false">IF(B4&gt;0,B5/B4,"")</f>
        <v>0.606382978723404</v>
      </c>
    </row>
    <row r="9" customFormat="false" ht="15" hidden="false" customHeight="false" outlineLevel="0" collapsed="false">
      <c r="A9" s="5" t="s">
        <v>15</v>
      </c>
      <c r="B9" s="7" t="n">
        <f aca="false">IF(B4&gt;0,(B5+B6)/B4,"")</f>
        <v>0.914893617021277</v>
      </c>
    </row>
    <row r="10" customFormat="false" ht="15" hidden="false" customHeight="false" outlineLevel="0" collapsed="false">
      <c r="A10" s="5" t="s">
        <v>16</v>
      </c>
      <c r="B10" s="7" t="n">
        <f aca="false">IF(B4&gt;0,((B8+1.96^2/(2*B4))-1.96*SQRT(B8*(1-B8)/B4+1.96^2/(4*B4^2)))/(1+1.96^2/B4),"")</f>
        <v>0.505309395536128</v>
      </c>
    </row>
    <row r="11" customFormat="false" ht="15" hidden="false" customHeight="false" outlineLevel="0" collapsed="false">
      <c r="A11" s="5" t="s">
        <v>17</v>
      </c>
      <c r="B11" s="7" t="n">
        <f aca="false">IF(B4&gt;0,((B8+1.96^2/(2*B4))+1.96*SQRT(B8*(1-B8)/B4+1.96^2/(4*B4^2)))/(1+1.96^2/B4),"")</f>
        <v>0.699102633702968</v>
      </c>
    </row>
    <row r="12" customFormat="false" ht="15" hidden="false" customHeight="false" outlineLevel="0" collapsed="false">
      <c r="A12" s="5" t="s">
        <v>18</v>
      </c>
      <c r="B12" s="7" t="n">
        <f aca="false">IF(B4&gt;0,((B9+1.96^2/(2*B4))-1.96*SQRT(B9*(1-B9)/B4+1.96^2/(4*B4^2)))/(1+1.96^2/B4),"")</f>
        <v>0.840961878700707</v>
      </c>
    </row>
    <row r="13" customFormat="false" ht="15" hidden="false" customHeight="false" outlineLevel="0" collapsed="false">
      <c r="A13" s="5" t="s">
        <v>19</v>
      </c>
      <c r="B13" s="7" t="n">
        <f aca="false">IF(B4&gt;0,((B9+1.96^2/(2*B4))+1.96*SQRT(B9*(1-B9)/B4+1.96^2/(4*B4^2)))/(1+1.96^2/B4),"")</f>
        <v>0.95624503533177</v>
      </c>
    </row>
    <row r="15" customFormat="false" ht="15" hidden="false" customHeight="false" outlineLevel="0" collapsed="false">
      <c r="A15" s="4" t="s">
        <v>20</v>
      </c>
    </row>
    <row r="16" customFormat="false" ht="15" hidden="false" customHeight="false" outlineLevel="0" collapsed="false">
      <c r="A16" s="5" t="s">
        <v>10</v>
      </c>
      <c r="B16" s="6" t="n">
        <f aca="false">COUNTIFS(Uzorak_50_rano!$L$5:$L$54,"A",Uzorak_50_rano!$N$5:$N$54,"da")+COUNTIFS(Uzorak_50_rano!$L$5:$L$54,"B",Uzorak_50_rano!$N$5:$N$54,"da")+COUNTIFS(Uzorak_50_rano!$L$5:$L$54,"C",Uzorak_50_rano!$N$5:$N$54,"da")</f>
        <v>35</v>
      </c>
    </row>
    <row r="17" customFormat="false" ht="15" hidden="false" customHeight="false" outlineLevel="0" collapsed="false">
      <c r="A17" s="5" t="s">
        <v>11</v>
      </c>
      <c r="B17" s="6" t="n">
        <f aca="false">COUNTIFS(Uzorak_50_rano!$L$5:$L$54,"A",Uzorak_50_rano!$N$5:$N$54,"da")</f>
        <v>13</v>
      </c>
    </row>
    <row r="18" customFormat="false" ht="15" hidden="false" customHeight="false" outlineLevel="0" collapsed="false">
      <c r="A18" s="5" t="s">
        <v>12</v>
      </c>
      <c r="B18" s="6" t="n">
        <f aca="false">COUNTIFS(Uzorak_50_rano!$L$5:$L$54,"B",Uzorak_50_rano!$N$5:$N$54,"da")</f>
        <v>12</v>
      </c>
    </row>
    <row r="19" customFormat="false" ht="15" hidden="false" customHeight="false" outlineLevel="0" collapsed="false">
      <c r="A19" s="5" t="s">
        <v>13</v>
      </c>
      <c r="B19" s="6" t="n">
        <f aca="false">COUNTIFS(Uzorak_50_rano!$L$5:$L$54,"C",Uzorak_50_rano!$N$5:$N$54,"da")</f>
        <v>10</v>
      </c>
    </row>
    <row r="20" customFormat="false" ht="15" hidden="false" customHeight="false" outlineLevel="0" collapsed="false">
      <c r="A20" s="5" t="s">
        <v>14</v>
      </c>
      <c r="B20" s="7" t="n">
        <f aca="false">IF(B16&gt;0,B17/B16,"")</f>
        <v>0.371428571428571</v>
      </c>
    </row>
    <row r="21" customFormat="false" ht="15" hidden="false" customHeight="false" outlineLevel="0" collapsed="false">
      <c r="A21" s="5" t="s">
        <v>15</v>
      </c>
      <c r="B21" s="7" t="n">
        <f aca="false">IF(B16&gt;0,(B17+B18)/B16,"")</f>
        <v>0.714285714285714</v>
      </c>
    </row>
    <row r="22" customFormat="false" ht="15" hidden="false" customHeight="false" outlineLevel="0" collapsed="false">
      <c r="A22" s="5" t="s">
        <v>16</v>
      </c>
      <c r="B22" s="7" t="n">
        <f aca="false">IF(B16&gt;0,((B20+1.96^2/(2*B16))-1.96*SQRT(B20*(1-B20)/B16+1.96^2/(4*B16^2)))/(1+1.96^2/B16),"")</f>
        <v>0.231656073688911</v>
      </c>
    </row>
    <row r="23" customFormat="false" ht="15" hidden="false" customHeight="false" outlineLevel="0" collapsed="false">
      <c r="A23" s="5" t="s">
        <v>17</v>
      </c>
      <c r="B23" s="7" t="n">
        <f aca="false">IF(B16&gt;0,((B20+1.96^2/(2*B16))+1.96*SQRT(B20*(1-B20)/B16+1.96^2/(4*B16^2)))/(1+1.96^2/B16),"")</f>
        <v>0.536633595119789</v>
      </c>
    </row>
    <row r="24" customFormat="false" ht="15" hidden="false" customHeight="false" outlineLevel="0" collapsed="false">
      <c r="A24" s="5" t="s">
        <v>18</v>
      </c>
      <c r="B24" s="7" t="n">
        <f aca="false">IF(B16&gt;0,((B21+1.96^2/(2*B16))-1.96*SQRT(B21*(1-B21)/B16+1.96^2/(4*B16^2)))/(1+1.96^2/B16),"")</f>
        <v>0.549447519301789</v>
      </c>
    </row>
    <row r="25" customFormat="false" ht="15" hidden="false" customHeight="false" outlineLevel="0" collapsed="false">
      <c r="A25" s="5" t="s">
        <v>19</v>
      </c>
      <c r="B25" s="7" t="n">
        <f aca="false">IF(B16&gt;0,((B21+1.96^2/(2*B16))+1.96*SQRT(B21*(1-B21)/B16+1.96^2/(4*B16^2)))/(1+1.96^2/B16),"")</f>
        <v>0.836736366017044</v>
      </c>
    </row>
    <row r="27" customFormat="false" ht="15" hidden="false" customHeight="false" outlineLevel="0" collapsed="false">
      <c r="A27" s="4" t="s">
        <v>21</v>
      </c>
    </row>
    <row r="28" customFormat="false" ht="15" hidden="false" customHeight="false" outlineLevel="0" collapsed="false">
      <c r="A28" s="5" t="s">
        <v>22</v>
      </c>
      <c r="B28" s="8" t="n">
        <f aca="false">B20-B8</f>
        <v>-0.234954407294833</v>
      </c>
    </row>
    <row r="29" customFormat="false" ht="15" hidden="false" customHeight="false" outlineLevel="0" collapsed="false">
      <c r="A29" s="5" t="s">
        <v>23</v>
      </c>
      <c r="B29" s="9" t="n">
        <f aca="false">IF(AND(B4&gt;0,B16&gt;0),(B20-B8)/SQRT(((B5+B17)/(B4+B16))*(1-(B5+B17)/(B4+B16))*(1/B4+1/B16)),"")</f>
        <v>-2.38177851997468</v>
      </c>
    </row>
    <row r="30" customFormat="false" ht="15" hidden="false" customHeight="false" outlineLevel="0" collapsed="false">
      <c r="A30" s="5" t="s">
        <v>24</v>
      </c>
      <c r="B30" s="10" t="n">
        <f aca="false">IF(B29="","",2*(1-NORMSDIST(ABS(B29))))</f>
        <v>0.0172292563184975</v>
      </c>
    </row>
    <row r="31" customFormat="false" ht="15" hidden="false" customHeight="false" outlineLevel="0" collapsed="false">
      <c r="A31" s="11" t="s">
        <v>25</v>
      </c>
    </row>
    <row r="33" customFormat="false" ht="15" hidden="false" customHeight="false" outlineLevel="0" collapsed="false">
      <c r="A33" s="11"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7"/>
    <col collapsed="false" customWidth="true" hidden="false" outlineLevel="0" max="3" min="3" style="0" width="40"/>
    <col collapsed="false" customWidth="true" hidden="false" outlineLevel="0" max="5" min="4" style="0" width="22"/>
    <col collapsed="false" customWidth="true" hidden="false" outlineLevel="0" max="6" min="6" style="0" width="26"/>
    <col collapsed="false" customWidth="true" hidden="false" outlineLevel="0" max="7" min="7" style="0" width="20"/>
    <col collapsed="false" customWidth="true" hidden="false" outlineLevel="0" max="8" min="8" style="0" width="14"/>
    <col collapsed="false" customWidth="true" hidden="false" outlineLevel="0" max="9" min="9" style="0" width="70"/>
    <col collapsed="false" customWidth="true" hidden="false" outlineLevel="0" max="10" min="10" style="0" width="9"/>
    <col collapsed="false" customWidth="true" hidden="false" outlineLevel="0" max="11" min="11" style="0" width="34"/>
    <col collapsed="false" customWidth="true" hidden="false" outlineLevel="0" max="12" min="12" style="0" width="11"/>
    <col collapsed="false" customWidth="true" hidden="false" outlineLevel="0" max="13" min="13" style="0" width="26"/>
    <col collapsed="false" customWidth="true" hidden="false" outlineLevel="0" max="14" min="14" style="0" width="12"/>
  </cols>
  <sheetData>
    <row r="1" customFormat="false" ht="15" hidden="false" customHeight="false" outlineLevel="0" collapsed="false">
      <c r="A1" s="3" t="s">
        <v>27</v>
      </c>
    </row>
    <row r="2" customFormat="false" ht="15" hidden="false" customHeight="false" outlineLevel="0" collapsed="false">
      <c r="A2" s="12" t="s">
        <v>28</v>
      </c>
    </row>
    <row r="4" customFormat="false" ht="35.05" hidden="false" customHeight="false" outlineLevel="0" collapsed="false">
      <c r="A4" s="13" t="s">
        <v>29</v>
      </c>
      <c r="B4" s="13" t="s">
        <v>30</v>
      </c>
      <c r="C4" s="13" t="s">
        <v>31</v>
      </c>
      <c r="D4" s="13" t="s">
        <v>32</v>
      </c>
      <c r="E4" s="13" t="s">
        <v>33</v>
      </c>
      <c r="F4" s="13" t="s">
        <v>34</v>
      </c>
      <c r="G4" s="13" t="s">
        <v>35</v>
      </c>
      <c r="H4" s="13" t="s">
        <v>36</v>
      </c>
      <c r="I4" s="13" t="s">
        <v>37</v>
      </c>
      <c r="J4" s="13" t="s">
        <v>38</v>
      </c>
      <c r="K4" s="13" t="s">
        <v>39</v>
      </c>
      <c r="L4" s="13" t="s">
        <v>40</v>
      </c>
      <c r="M4" s="13" t="s">
        <v>41</v>
      </c>
      <c r="N4" s="13" t="s">
        <v>42</v>
      </c>
    </row>
    <row r="5" customFormat="false" ht="75" hidden="false" customHeight="true" outlineLevel="0" collapsed="false">
      <c r="A5" s="2" t="n">
        <v>1</v>
      </c>
      <c r="B5" s="2" t="n">
        <v>2024</v>
      </c>
      <c r="C5" s="2" t="s">
        <v>43</v>
      </c>
      <c r="D5" s="2" t="s">
        <v>44</v>
      </c>
      <c r="E5" s="2" t="s">
        <v>45</v>
      </c>
      <c r="F5" s="14" t="s">
        <v>46</v>
      </c>
      <c r="G5" s="2" t="s">
        <v>47</v>
      </c>
      <c r="H5" s="2" t="s">
        <v>48</v>
      </c>
      <c r="I5" s="2" t="s">
        <v>49</v>
      </c>
      <c r="J5" s="2" t="s">
        <v>50</v>
      </c>
      <c r="K5" s="2" t="s">
        <v>51</v>
      </c>
      <c r="L5" s="15" t="s">
        <v>50</v>
      </c>
      <c r="M5" s="2"/>
      <c r="N5" s="2" t="s">
        <v>52</v>
      </c>
    </row>
    <row r="6" customFormat="false" ht="75" hidden="false" customHeight="true" outlineLevel="0" collapsed="false">
      <c r="A6" s="2" t="n">
        <v>2</v>
      </c>
      <c r="B6" s="2" t="n">
        <v>2025</v>
      </c>
      <c r="C6" s="2" t="s">
        <v>53</v>
      </c>
      <c r="D6" s="2" t="s">
        <v>54</v>
      </c>
      <c r="E6" s="2" t="s">
        <v>55</v>
      </c>
      <c r="F6" s="14" t="s">
        <v>56</v>
      </c>
      <c r="G6" s="2" t="s">
        <v>57</v>
      </c>
      <c r="H6" s="2" t="s">
        <v>58</v>
      </c>
      <c r="I6" s="2" t="s">
        <v>59</v>
      </c>
      <c r="J6" s="2" t="s">
        <v>50</v>
      </c>
      <c r="K6" s="2" t="s">
        <v>60</v>
      </c>
      <c r="L6" s="15" t="s">
        <v>50</v>
      </c>
      <c r="M6" s="2"/>
      <c r="N6" s="2" t="s">
        <v>52</v>
      </c>
    </row>
    <row r="7" customFormat="false" ht="75" hidden="false" customHeight="true" outlineLevel="0" collapsed="false">
      <c r="A7" s="2" t="n">
        <v>3</v>
      </c>
      <c r="B7" s="2" t="n">
        <v>2024</v>
      </c>
      <c r="C7" s="2" t="s">
        <v>61</v>
      </c>
      <c r="D7" s="2" t="s">
        <v>62</v>
      </c>
      <c r="E7" s="2" t="s">
        <v>63</v>
      </c>
      <c r="F7" s="14" t="s">
        <v>64</v>
      </c>
      <c r="G7" s="2" t="s">
        <v>65</v>
      </c>
      <c r="H7" s="2" t="s">
        <v>66</v>
      </c>
      <c r="I7" s="2" t="s">
        <v>67</v>
      </c>
      <c r="J7" s="2" t="s">
        <v>50</v>
      </c>
      <c r="K7" s="2" t="s">
        <v>68</v>
      </c>
      <c r="L7" s="15" t="s">
        <v>50</v>
      </c>
      <c r="M7" s="2"/>
      <c r="N7" s="2" t="s">
        <v>52</v>
      </c>
    </row>
    <row r="8" customFormat="false" ht="75" hidden="false" customHeight="true" outlineLevel="0" collapsed="false">
      <c r="A8" s="2" t="n">
        <v>4</v>
      </c>
      <c r="B8" s="2" t="n">
        <v>2020</v>
      </c>
      <c r="C8" s="2" t="s">
        <v>69</v>
      </c>
      <c r="D8" s="2" t="s">
        <v>70</v>
      </c>
      <c r="E8" s="2" t="s">
        <v>71</v>
      </c>
      <c r="F8" s="14" t="s">
        <v>72</v>
      </c>
      <c r="G8" s="2" t="s">
        <v>73</v>
      </c>
      <c r="H8" s="2" t="s">
        <v>74</v>
      </c>
      <c r="I8" s="2" t="s">
        <v>75</v>
      </c>
      <c r="J8" s="2" t="s">
        <v>50</v>
      </c>
      <c r="K8" s="2" t="s">
        <v>76</v>
      </c>
      <c r="L8" s="15" t="s">
        <v>50</v>
      </c>
      <c r="M8" s="2"/>
      <c r="N8" s="2" t="s">
        <v>52</v>
      </c>
    </row>
    <row r="9" customFormat="false" ht="75" hidden="false" customHeight="true" outlineLevel="0" collapsed="false">
      <c r="A9" s="2" t="n">
        <v>5</v>
      </c>
      <c r="B9" s="2" t="n">
        <v>2024</v>
      </c>
      <c r="C9" s="2" t="s">
        <v>77</v>
      </c>
      <c r="D9" s="2" t="s">
        <v>78</v>
      </c>
      <c r="E9" s="2" t="s">
        <v>79</v>
      </c>
      <c r="F9" s="14" t="s">
        <v>80</v>
      </c>
      <c r="G9" s="2" t="s">
        <v>81</v>
      </c>
      <c r="H9" s="2" t="s">
        <v>82</v>
      </c>
      <c r="I9" s="2" t="s">
        <v>83</v>
      </c>
      <c r="J9" s="2" t="s">
        <v>84</v>
      </c>
      <c r="K9" s="2" t="s">
        <v>85</v>
      </c>
      <c r="L9" s="15" t="s">
        <v>84</v>
      </c>
      <c r="M9" s="2"/>
      <c r="N9" s="2" t="s">
        <v>52</v>
      </c>
    </row>
    <row r="10" customFormat="false" ht="75" hidden="false" customHeight="true" outlineLevel="0" collapsed="false">
      <c r="A10" s="2" t="n">
        <v>6</v>
      </c>
      <c r="B10" s="2" t="n">
        <v>2017</v>
      </c>
      <c r="C10" s="2" t="s">
        <v>86</v>
      </c>
      <c r="D10" s="2" t="s">
        <v>87</v>
      </c>
      <c r="E10" s="2" t="s">
        <v>88</v>
      </c>
      <c r="F10" s="14" t="s">
        <v>89</v>
      </c>
      <c r="G10" s="2" t="s">
        <v>90</v>
      </c>
      <c r="H10" s="2" t="s">
        <v>91</v>
      </c>
      <c r="I10" s="2" t="s">
        <v>92</v>
      </c>
      <c r="J10" s="2" t="s">
        <v>84</v>
      </c>
      <c r="K10" s="2" t="s">
        <v>93</v>
      </c>
      <c r="L10" s="15" t="s">
        <v>84</v>
      </c>
      <c r="M10" s="2"/>
      <c r="N10" s="2" t="s">
        <v>52</v>
      </c>
    </row>
    <row r="11" customFormat="false" ht="75" hidden="false" customHeight="true" outlineLevel="0" collapsed="false">
      <c r="A11" s="2" t="n">
        <v>7</v>
      </c>
      <c r="B11" s="2" t="n">
        <v>2025</v>
      </c>
      <c r="C11" s="2" t="s">
        <v>94</v>
      </c>
      <c r="D11" s="2" t="s">
        <v>95</v>
      </c>
      <c r="E11" s="2" t="s">
        <v>96</v>
      </c>
      <c r="F11" s="14" t="s">
        <v>97</v>
      </c>
      <c r="G11" s="2" t="s">
        <v>98</v>
      </c>
      <c r="H11" s="2" t="s">
        <v>99</v>
      </c>
      <c r="I11" s="2" t="s">
        <v>100</v>
      </c>
      <c r="J11" s="2" t="s">
        <v>84</v>
      </c>
      <c r="K11" s="2" t="s">
        <v>101</v>
      </c>
      <c r="L11" s="15" t="s">
        <v>84</v>
      </c>
      <c r="M11" s="2"/>
      <c r="N11" s="2" t="s">
        <v>52</v>
      </c>
    </row>
    <row r="12" customFormat="false" ht="75" hidden="false" customHeight="true" outlineLevel="0" collapsed="false">
      <c r="A12" s="2" t="n">
        <v>8</v>
      </c>
      <c r="B12" s="2" t="n">
        <v>2019</v>
      </c>
      <c r="C12" s="2" t="s">
        <v>102</v>
      </c>
      <c r="D12" s="2" t="s">
        <v>103</v>
      </c>
      <c r="E12" s="2" t="s">
        <v>104</v>
      </c>
      <c r="F12" s="14" t="s">
        <v>105</v>
      </c>
      <c r="G12" s="2" t="s">
        <v>106</v>
      </c>
      <c r="H12" s="2" t="s">
        <v>91</v>
      </c>
      <c r="I12" s="2" t="s">
        <v>107</v>
      </c>
      <c r="J12" s="2" t="s">
        <v>84</v>
      </c>
      <c r="K12" s="2" t="s">
        <v>108</v>
      </c>
      <c r="L12" s="15" t="s">
        <v>84</v>
      </c>
      <c r="M12" s="2"/>
      <c r="N12" s="2" t="s">
        <v>52</v>
      </c>
    </row>
    <row r="13" customFormat="false" ht="75" hidden="false" customHeight="true" outlineLevel="0" collapsed="false">
      <c r="A13" s="2" t="n">
        <v>9</v>
      </c>
      <c r="B13" s="2" t="n">
        <v>2025</v>
      </c>
      <c r="C13" s="2" t="s">
        <v>109</v>
      </c>
      <c r="D13" s="2" t="s">
        <v>110</v>
      </c>
      <c r="E13" s="2" t="s">
        <v>111</v>
      </c>
      <c r="F13" s="14" t="s">
        <v>112</v>
      </c>
      <c r="G13" s="2" t="s">
        <v>113</v>
      </c>
      <c r="H13" s="2" t="s">
        <v>99</v>
      </c>
      <c r="I13" s="2" t="s">
        <v>114</v>
      </c>
      <c r="J13" s="2" t="s">
        <v>50</v>
      </c>
      <c r="K13" s="2" t="s">
        <v>115</v>
      </c>
      <c r="L13" s="15" t="s">
        <v>50</v>
      </c>
      <c r="M13" s="2"/>
      <c r="N13" s="2" t="s">
        <v>52</v>
      </c>
    </row>
    <row r="14" customFormat="false" ht="75" hidden="false" customHeight="true" outlineLevel="0" collapsed="false">
      <c r="A14" s="2" t="n">
        <v>10</v>
      </c>
      <c r="B14" s="2" t="n">
        <v>2022</v>
      </c>
      <c r="C14" s="2" t="s">
        <v>116</v>
      </c>
      <c r="D14" s="2" t="s">
        <v>117</v>
      </c>
      <c r="E14" s="2" t="s">
        <v>111</v>
      </c>
      <c r="F14" s="14" t="s">
        <v>118</v>
      </c>
      <c r="G14" s="2" t="s">
        <v>119</v>
      </c>
      <c r="H14" s="2" t="s">
        <v>91</v>
      </c>
      <c r="I14" s="2" t="s">
        <v>120</v>
      </c>
      <c r="J14" s="2" t="s">
        <v>50</v>
      </c>
      <c r="K14" s="2" t="s">
        <v>121</v>
      </c>
      <c r="L14" s="15" t="s">
        <v>50</v>
      </c>
      <c r="M14" s="2"/>
      <c r="N14" s="2" t="s">
        <v>52</v>
      </c>
    </row>
    <row r="15" customFormat="false" ht="75" hidden="false" customHeight="true" outlineLevel="0" collapsed="false">
      <c r="A15" s="2" t="n">
        <v>11</v>
      </c>
      <c r="B15" s="2" t="n">
        <v>2023</v>
      </c>
      <c r="C15" s="2" t="s">
        <v>122</v>
      </c>
      <c r="D15" s="2" t="s">
        <v>123</v>
      </c>
      <c r="E15" s="2" t="s">
        <v>124</v>
      </c>
      <c r="F15" s="14" t="s">
        <v>125</v>
      </c>
      <c r="G15" s="2" t="s">
        <v>126</v>
      </c>
      <c r="H15" s="2" t="s">
        <v>99</v>
      </c>
      <c r="I15" s="2" t="s">
        <v>127</v>
      </c>
      <c r="J15" s="2" t="s">
        <v>84</v>
      </c>
      <c r="K15" s="2" t="s">
        <v>128</v>
      </c>
      <c r="L15" s="15" t="s">
        <v>84</v>
      </c>
      <c r="M15" s="2"/>
      <c r="N15" s="2" t="s">
        <v>52</v>
      </c>
    </row>
    <row r="16" customFormat="false" ht="75" hidden="false" customHeight="true" outlineLevel="0" collapsed="false">
      <c r="A16" s="2" t="n">
        <v>12</v>
      </c>
      <c r="B16" s="2" t="n">
        <v>2024</v>
      </c>
      <c r="C16" s="2" t="s">
        <v>129</v>
      </c>
      <c r="D16" s="2" t="s">
        <v>130</v>
      </c>
      <c r="E16" s="2" t="s">
        <v>131</v>
      </c>
      <c r="F16" s="14" t="s">
        <v>132</v>
      </c>
      <c r="G16" s="2" t="s">
        <v>133</v>
      </c>
      <c r="H16" s="2" t="s">
        <v>99</v>
      </c>
      <c r="I16" s="2" t="s">
        <v>134</v>
      </c>
      <c r="J16" s="2" t="s">
        <v>50</v>
      </c>
      <c r="K16" s="2" t="s">
        <v>135</v>
      </c>
      <c r="L16" s="15" t="s">
        <v>50</v>
      </c>
      <c r="M16" s="2"/>
      <c r="N16" s="2" t="s">
        <v>52</v>
      </c>
    </row>
    <row r="17" customFormat="false" ht="75" hidden="false" customHeight="true" outlineLevel="0" collapsed="false">
      <c r="A17" s="2" t="n">
        <v>13</v>
      </c>
      <c r="B17" s="2" t="n">
        <v>2024</v>
      </c>
      <c r="C17" s="2" t="s">
        <v>136</v>
      </c>
      <c r="D17" s="2" t="s">
        <v>137</v>
      </c>
      <c r="E17" s="2" t="s">
        <v>138</v>
      </c>
      <c r="F17" s="14" t="s">
        <v>139</v>
      </c>
      <c r="G17" s="2" t="s">
        <v>140</v>
      </c>
      <c r="H17" s="2" t="s">
        <v>99</v>
      </c>
      <c r="I17" s="2" t="s">
        <v>141</v>
      </c>
      <c r="J17" s="2" t="s">
        <v>50</v>
      </c>
      <c r="K17" s="2" t="s">
        <v>142</v>
      </c>
      <c r="L17" s="15" t="s">
        <v>50</v>
      </c>
      <c r="M17" s="2"/>
      <c r="N17" s="2" t="s">
        <v>52</v>
      </c>
    </row>
    <row r="18" customFormat="false" ht="75" hidden="false" customHeight="true" outlineLevel="0" collapsed="false">
      <c r="A18" s="2" t="n">
        <v>14</v>
      </c>
      <c r="B18" s="2" t="n">
        <v>2025</v>
      </c>
      <c r="C18" s="2" t="s">
        <v>143</v>
      </c>
      <c r="D18" s="2" t="s">
        <v>144</v>
      </c>
      <c r="E18" s="2" t="s">
        <v>145</v>
      </c>
      <c r="F18" s="14" t="s">
        <v>146</v>
      </c>
      <c r="G18" s="2" t="s">
        <v>147</v>
      </c>
      <c r="H18" s="2" t="s">
        <v>148</v>
      </c>
      <c r="I18" s="2" t="s">
        <v>149</v>
      </c>
      <c r="J18" s="2" t="s">
        <v>150</v>
      </c>
      <c r="K18" s="2" t="s">
        <v>151</v>
      </c>
      <c r="L18" s="15" t="s">
        <v>150</v>
      </c>
      <c r="M18" s="2"/>
      <c r="N18" s="2" t="s">
        <v>52</v>
      </c>
    </row>
    <row r="19" customFormat="false" ht="75" hidden="false" customHeight="true" outlineLevel="0" collapsed="false">
      <c r="A19" s="2" t="n">
        <v>15</v>
      </c>
      <c r="B19" s="2" t="n">
        <v>2025</v>
      </c>
      <c r="C19" s="2" t="s">
        <v>152</v>
      </c>
      <c r="D19" s="2" t="s">
        <v>117</v>
      </c>
      <c r="E19" s="2" t="s">
        <v>111</v>
      </c>
      <c r="F19" s="14" t="s">
        <v>153</v>
      </c>
      <c r="G19" s="2" t="s">
        <v>154</v>
      </c>
      <c r="H19" s="2" t="s">
        <v>91</v>
      </c>
      <c r="I19" s="2" t="s">
        <v>155</v>
      </c>
      <c r="J19" s="2" t="s">
        <v>50</v>
      </c>
      <c r="K19" s="2" t="s">
        <v>156</v>
      </c>
      <c r="L19" s="15" t="s">
        <v>50</v>
      </c>
      <c r="M19" s="2"/>
      <c r="N19" s="2" t="s">
        <v>52</v>
      </c>
    </row>
    <row r="20" customFormat="false" ht="75" hidden="false" customHeight="true" outlineLevel="0" collapsed="false">
      <c r="A20" s="2" t="n">
        <v>16</v>
      </c>
      <c r="B20" s="2" t="n">
        <v>2025</v>
      </c>
      <c r="C20" s="2" t="s">
        <v>157</v>
      </c>
      <c r="D20" s="2" t="s">
        <v>158</v>
      </c>
      <c r="E20" s="2" t="s">
        <v>55</v>
      </c>
      <c r="F20" s="14" t="s">
        <v>159</v>
      </c>
      <c r="G20" s="2" t="s">
        <v>160</v>
      </c>
      <c r="H20" s="2" t="s">
        <v>99</v>
      </c>
      <c r="I20" s="2" t="s">
        <v>161</v>
      </c>
      <c r="J20" s="2" t="s">
        <v>84</v>
      </c>
      <c r="K20" s="2" t="s">
        <v>162</v>
      </c>
      <c r="L20" s="15" t="s">
        <v>84</v>
      </c>
      <c r="M20" s="2"/>
      <c r="N20" s="2" t="s">
        <v>52</v>
      </c>
    </row>
    <row r="21" customFormat="false" ht="75" hidden="false" customHeight="true" outlineLevel="0" collapsed="false">
      <c r="A21" s="2" t="n">
        <v>17</v>
      </c>
      <c r="B21" s="2" t="n">
        <v>2023</v>
      </c>
      <c r="C21" s="2" t="s">
        <v>163</v>
      </c>
      <c r="D21" s="2" t="s">
        <v>44</v>
      </c>
      <c r="E21" s="2" t="s">
        <v>45</v>
      </c>
      <c r="F21" s="14" t="s">
        <v>164</v>
      </c>
      <c r="G21" s="2" t="s">
        <v>165</v>
      </c>
      <c r="H21" s="2" t="s">
        <v>166</v>
      </c>
      <c r="I21" s="2" t="s">
        <v>167</v>
      </c>
      <c r="J21" s="2" t="s">
        <v>50</v>
      </c>
      <c r="K21" s="2" t="s">
        <v>168</v>
      </c>
      <c r="L21" s="15" t="s">
        <v>50</v>
      </c>
      <c r="M21" s="2"/>
      <c r="N21" s="2" t="s">
        <v>52</v>
      </c>
    </row>
    <row r="22" customFormat="false" ht="75" hidden="false" customHeight="true" outlineLevel="0" collapsed="false">
      <c r="A22" s="2" t="n">
        <v>18</v>
      </c>
      <c r="B22" s="2" t="n">
        <v>2025</v>
      </c>
      <c r="C22" s="2" t="s">
        <v>169</v>
      </c>
      <c r="D22" s="2" t="s">
        <v>170</v>
      </c>
      <c r="E22" s="2" t="s">
        <v>171</v>
      </c>
      <c r="F22" s="14" t="s">
        <v>172</v>
      </c>
      <c r="G22" s="2" t="s">
        <v>173</v>
      </c>
      <c r="H22" s="2" t="s">
        <v>99</v>
      </c>
      <c r="I22" s="2" t="s">
        <v>174</v>
      </c>
      <c r="J22" s="2" t="s">
        <v>84</v>
      </c>
      <c r="K22" s="2" t="s">
        <v>175</v>
      </c>
      <c r="L22" s="15" t="s">
        <v>84</v>
      </c>
      <c r="M22" s="2"/>
      <c r="N22" s="2" t="s">
        <v>52</v>
      </c>
    </row>
    <row r="23" customFormat="false" ht="75" hidden="false" customHeight="true" outlineLevel="0" collapsed="false">
      <c r="A23" s="2" t="n">
        <v>19</v>
      </c>
      <c r="B23" s="2" t="n">
        <v>2025</v>
      </c>
      <c r="C23" s="2" t="s">
        <v>176</v>
      </c>
      <c r="D23" s="2" t="s">
        <v>177</v>
      </c>
      <c r="E23" s="2" t="s">
        <v>178</v>
      </c>
      <c r="F23" s="14" t="s">
        <v>179</v>
      </c>
      <c r="G23" s="2" t="s">
        <v>180</v>
      </c>
      <c r="H23" s="2" t="s">
        <v>181</v>
      </c>
      <c r="I23" s="2" t="s">
        <v>100</v>
      </c>
      <c r="J23" s="2" t="s">
        <v>150</v>
      </c>
      <c r="K23" s="2" t="s">
        <v>182</v>
      </c>
      <c r="L23" s="15" t="s">
        <v>150</v>
      </c>
      <c r="M23" s="2"/>
      <c r="N23" s="2" t="s">
        <v>52</v>
      </c>
    </row>
    <row r="24" customFormat="false" ht="75" hidden="false" customHeight="true" outlineLevel="0" collapsed="false">
      <c r="A24" s="2" t="n">
        <v>20</v>
      </c>
      <c r="B24" s="2" t="n">
        <v>2022</v>
      </c>
      <c r="C24" s="2" t="s">
        <v>183</v>
      </c>
      <c r="D24" s="2" t="s">
        <v>184</v>
      </c>
      <c r="E24" s="2" t="s">
        <v>185</v>
      </c>
      <c r="F24" s="14" t="s">
        <v>186</v>
      </c>
      <c r="G24" s="2" t="s">
        <v>187</v>
      </c>
      <c r="H24" s="2" t="s">
        <v>188</v>
      </c>
      <c r="I24" s="2" t="s">
        <v>189</v>
      </c>
      <c r="J24" s="2" t="s">
        <v>50</v>
      </c>
      <c r="K24" s="2" t="s">
        <v>190</v>
      </c>
      <c r="L24" s="15" t="s">
        <v>50</v>
      </c>
      <c r="M24" s="2"/>
      <c r="N24" s="2" t="s">
        <v>52</v>
      </c>
    </row>
    <row r="25" customFormat="false" ht="75" hidden="false" customHeight="true" outlineLevel="0" collapsed="false">
      <c r="A25" s="2" t="n">
        <v>21</v>
      </c>
      <c r="B25" s="2" t="n">
        <v>2024</v>
      </c>
      <c r="C25" s="2" t="s">
        <v>191</v>
      </c>
      <c r="D25" s="2" t="s">
        <v>192</v>
      </c>
      <c r="E25" s="2" t="s">
        <v>55</v>
      </c>
      <c r="F25" s="14" t="s">
        <v>193</v>
      </c>
      <c r="G25" s="2" t="s">
        <v>194</v>
      </c>
      <c r="H25" s="2" t="s">
        <v>195</v>
      </c>
      <c r="I25" s="2" t="s">
        <v>196</v>
      </c>
      <c r="J25" s="2" t="s">
        <v>84</v>
      </c>
      <c r="K25" s="2" t="s">
        <v>197</v>
      </c>
      <c r="L25" s="15" t="s">
        <v>84</v>
      </c>
      <c r="M25" s="2"/>
      <c r="N25" s="2" t="s">
        <v>52</v>
      </c>
    </row>
    <row r="26" customFormat="false" ht="75" hidden="false" customHeight="true" outlineLevel="0" collapsed="false">
      <c r="A26" s="2" t="n">
        <v>22</v>
      </c>
      <c r="B26" s="2" t="n">
        <v>2019</v>
      </c>
      <c r="C26" s="2" t="s">
        <v>198</v>
      </c>
      <c r="D26" s="2" t="s">
        <v>199</v>
      </c>
      <c r="E26" s="2" t="s">
        <v>55</v>
      </c>
      <c r="F26" s="14" t="s">
        <v>200</v>
      </c>
      <c r="G26" s="2" t="s">
        <v>201</v>
      </c>
      <c r="H26" s="2" t="s">
        <v>202</v>
      </c>
      <c r="I26" s="2" t="s">
        <v>203</v>
      </c>
      <c r="J26" s="2" t="s">
        <v>50</v>
      </c>
      <c r="K26" s="2" t="s">
        <v>204</v>
      </c>
      <c r="L26" s="15" t="s">
        <v>50</v>
      </c>
      <c r="M26" s="2"/>
      <c r="N26" s="2" t="s">
        <v>52</v>
      </c>
    </row>
    <row r="27" customFormat="false" ht="75" hidden="false" customHeight="true" outlineLevel="0" collapsed="false">
      <c r="A27" s="2" t="n">
        <v>23</v>
      </c>
      <c r="B27" s="2" t="n">
        <v>2024</v>
      </c>
      <c r="C27" s="2" t="s">
        <v>205</v>
      </c>
      <c r="D27" s="2" t="s">
        <v>206</v>
      </c>
      <c r="E27" s="2" t="s">
        <v>207</v>
      </c>
      <c r="F27" s="14" t="s">
        <v>208</v>
      </c>
      <c r="G27" s="2" t="s">
        <v>209</v>
      </c>
      <c r="H27" s="2" t="s">
        <v>195</v>
      </c>
      <c r="I27" s="2" t="s">
        <v>210</v>
      </c>
      <c r="J27" s="2" t="s">
        <v>150</v>
      </c>
      <c r="K27" s="2" t="s">
        <v>211</v>
      </c>
      <c r="L27" s="15" t="s">
        <v>150</v>
      </c>
      <c r="M27" s="2"/>
      <c r="N27" s="2" t="s">
        <v>52</v>
      </c>
    </row>
    <row r="28" customFormat="false" ht="75" hidden="false" customHeight="true" outlineLevel="0" collapsed="false">
      <c r="A28" s="2" t="n">
        <v>24</v>
      </c>
      <c r="B28" s="2" t="n">
        <v>2024</v>
      </c>
      <c r="C28" s="2" t="s">
        <v>212</v>
      </c>
      <c r="D28" s="2" t="s">
        <v>213</v>
      </c>
      <c r="E28" s="2" t="s">
        <v>214</v>
      </c>
      <c r="F28" s="14" t="s">
        <v>215</v>
      </c>
      <c r="G28" s="2" t="s">
        <v>216</v>
      </c>
      <c r="H28" s="2" t="s">
        <v>217</v>
      </c>
      <c r="I28" s="2" t="s">
        <v>218</v>
      </c>
      <c r="J28" s="2" t="s">
        <v>84</v>
      </c>
      <c r="K28" s="2" t="s">
        <v>219</v>
      </c>
      <c r="L28" s="15" t="s">
        <v>84</v>
      </c>
      <c r="M28" s="2"/>
      <c r="N28" s="2" t="s">
        <v>52</v>
      </c>
    </row>
    <row r="29" customFormat="false" ht="75" hidden="false" customHeight="true" outlineLevel="0" collapsed="false">
      <c r="A29" s="2" t="n">
        <v>25</v>
      </c>
      <c r="B29" s="2" t="n">
        <v>2023</v>
      </c>
      <c r="C29" s="2" t="s">
        <v>220</v>
      </c>
      <c r="D29" s="2" t="s">
        <v>137</v>
      </c>
      <c r="E29" s="2" t="s">
        <v>221</v>
      </c>
      <c r="F29" s="14" t="s">
        <v>222</v>
      </c>
      <c r="G29" s="2" t="s">
        <v>223</v>
      </c>
      <c r="H29" s="2" t="s">
        <v>202</v>
      </c>
      <c r="I29" s="2" t="s">
        <v>224</v>
      </c>
      <c r="J29" s="2" t="s">
        <v>50</v>
      </c>
      <c r="K29" s="2" t="s">
        <v>225</v>
      </c>
      <c r="L29" s="15" t="s">
        <v>50</v>
      </c>
      <c r="M29" s="2"/>
      <c r="N29" s="2" t="s">
        <v>52</v>
      </c>
    </row>
    <row r="30" customFormat="false" ht="75" hidden="false" customHeight="true" outlineLevel="0" collapsed="false">
      <c r="A30" s="2" t="n">
        <v>26</v>
      </c>
      <c r="B30" s="2" t="n">
        <v>2025</v>
      </c>
      <c r="C30" s="2" t="s">
        <v>226</v>
      </c>
      <c r="D30" s="2" t="s">
        <v>227</v>
      </c>
      <c r="E30" s="2" t="s">
        <v>111</v>
      </c>
      <c r="F30" s="14" t="s">
        <v>228</v>
      </c>
      <c r="G30" s="2" t="s">
        <v>229</v>
      </c>
      <c r="H30" s="2" t="s">
        <v>195</v>
      </c>
      <c r="I30" s="2" t="s">
        <v>230</v>
      </c>
      <c r="J30" s="2" t="s">
        <v>50</v>
      </c>
      <c r="K30" s="2" t="s">
        <v>231</v>
      </c>
      <c r="L30" s="15" t="s">
        <v>50</v>
      </c>
      <c r="M30" s="2"/>
      <c r="N30" s="2" t="s">
        <v>52</v>
      </c>
    </row>
    <row r="31" customFormat="false" ht="75" hidden="false" customHeight="true" outlineLevel="0" collapsed="false">
      <c r="A31" s="2" t="n">
        <v>27</v>
      </c>
      <c r="B31" s="2" t="n">
        <v>2022</v>
      </c>
      <c r="C31" s="2" t="s">
        <v>232</v>
      </c>
      <c r="D31" s="2" t="s">
        <v>233</v>
      </c>
      <c r="E31" s="2" t="s">
        <v>111</v>
      </c>
      <c r="F31" s="14" t="s">
        <v>234</v>
      </c>
      <c r="G31" s="2" t="s">
        <v>235</v>
      </c>
      <c r="H31" s="2" t="s">
        <v>202</v>
      </c>
      <c r="I31" s="2" t="s">
        <v>236</v>
      </c>
      <c r="J31" s="2" t="s">
        <v>50</v>
      </c>
      <c r="K31" s="2" t="s">
        <v>237</v>
      </c>
      <c r="L31" s="15" t="s">
        <v>50</v>
      </c>
      <c r="M31" s="2"/>
      <c r="N31" s="2" t="s">
        <v>52</v>
      </c>
    </row>
    <row r="32" customFormat="false" ht="75" hidden="false" customHeight="true" outlineLevel="0" collapsed="false">
      <c r="A32" s="2" t="n">
        <v>28</v>
      </c>
      <c r="B32" s="2" t="n">
        <v>2025</v>
      </c>
      <c r="C32" s="2" t="s">
        <v>238</v>
      </c>
      <c r="D32" s="2" t="s">
        <v>239</v>
      </c>
      <c r="E32" s="2" t="s">
        <v>55</v>
      </c>
      <c r="F32" s="14" t="s">
        <v>240</v>
      </c>
      <c r="G32" s="2" t="s">
        <v>241</v>
      </c>
      <c r="H32" s="2" t="s">
        <v>242</v>
      </c>
      <c r="I32" s="2" t="s">
        <v>243</v>
      </c>
      <c r="J32" s="2" t="s">
        <v>50</v>
      </c>
      <c r="K32" s="2" t="s">
        <v>244</v>
      </c>
      <c r="L32" s="15" t="s">
        <v>50</v>
      </c>
      <c r="M32" s="2"/>
      <c r="N32" s="2" t="s">
        <v>52</v>
      </c>
    </row>
    <row r="33" customFormat="false" ht="75" hidden="false" customHeight="true" outlineLevel="0" collapsed="false">
      <c r="A33" s="2" t="n">
        <v>29</v>
      </c>
      <c r="B33" s="2" t="n">
        <v>2020</v>
      </c>
      <c r="C33" s="2" t="s">
        <v>245</v>
      </c>
      <c r="D33" s="2" t="s">
        <v>233</v>
      </c>
      <c r="E33" s="2" t="s">
        <v>214</v>
      </c>
      <c r="F33" s="14" t="s">
        <v>246</v>
      </c>
      <c r="G33" s="2" t="s">
        <v>247</v>
      </c>
      <c r="H33" s="2" t="s">
        <v>202</v>
      </c>
      <c r="I33" s="2" t="s">
        <v>248</v>
      </c>
      <c r="J33" s="2" t="s">
        <v>50</v>
      </c>
      <c r="K33" s="2" t="s">
        <v>249</v>
      </c>
      <c r="L33" s="15" t="s">
        <v>50</v>
      </c>
      <c r="M33" s="2"/>
      <c r="N33" s="2" t="s">
        <v>52</v>
      </c>
    </row>
    <row r="34" customFormat="false" ht="75" hidden="false" customHeight="true" outlineLevel="0" collapsed="false">
      <c r="A34" s="2" t="n">
        <v>30</v>
      </c>
      <c r="B34" s="2" t="n">
        <v>2022</v>
      </c>
      <c r="C34" s="2" t="s">
        <v>250</v>
      </c>
      <c r="D34" s="2" t="s">
        <v>117</v>
      </c>
      <c r="E34" s="2" t="s">
        <v>111</v>
      </c>
      <c r="F34" s="14" t="s">
        <v>251</v>
      </c>
      <c r="G34" s="2" t="s">
        <v>252</v>
      </c>
      <c r="H34" s="2" t="s">
        <v>91</v>
      </c>
      <c r="I34" s="2" t="s">
        <v>253</v>
      </c>
      <c r="J34" s="2" t="s">
        <v>50</v>
      </c>
      <c r="K34" s="2" t="s">
        <v>254</v>
      </c>
      <c r="L34" s="15" t="s">
        <v>50</v>
      </c>
      <c r="M34" s="2"/>
      <c r="N34" s="2" t="s">
        <v>52</v>
      </c>
    </row>
    <row r="35" customFormat="false" ht="75" hidden="false" customHeight="true" outlineLevel="0" collapsed="false">
      <c r="A35" s="2" t="n">
        <v>31</v>
      </c>
      <c r="B35" s="2" t="n">
        <v>2023</v>
      </c>
      <c r="C35" s="2" t="s">
        <v>255</v>
      </c>
      <c r="D35" s="2" t="s">
        <v>233</v>
      </c>
      <c r="E35" s="2" t="s">
        <v>96</v>
      </c>
      <c r="F35" s="14" t="s">
        <v>256</v>
      </c>
      <c r="G35" s="2" t="s">
        <v>257</v>
      </c>
      <c r="H35" s="2" t="s">
        <v>91</v>
      </c>
      <c r="I35" s="2" t="s">
        <v>258</v>
      </c>
      <c r="J35" s="2" t="s">
        <v>84</v>
      </c>
      <c r="K35" s="2" t="s">
        <v>259</v>
      </c>
      <c r="L35" s="15" t="s">
        <v>84</v>
      </c>
      <c r="M35" s="2"/>
      <c r="N35" s="2" t="s">
        <v>52</v>
      </c>
    </row>
    <row r="36" customFormat="false" ht="75" hidden="false" customHeight="true" outlineLevel="0" collapsed="false">
      <c r="A36" s="2" t="n">
        <v>32</v>
      </c>
      <c r="B36" s="2" t="n">
        <v>2025</v>
      </c>
      <c r="C36" s="2" t="s">
        <v>260</v>
      </c>
      <c r="D36" s="2" t="s">
        <v>261</v>
      </c>
      <c r="E36" s="2" t="s">
        <v>262</v>
      </c>
      <c r="F36" s="14" t="s">
        <v>263</v>
      </c>
      <c r="G36" s="2" t="s">
        <v>264</v>
      </c>
      <c r="H36" s="2" t="s">
        <v>99</v>
      </c>
      <c r="I36" s="2" t="s">
        <v>265</v>
      </c>
      <c r="J36" s="2" t="s">
        <v>50</v>
      </c>
      <c r="K36" s="2" t="s">
        <v>266</v>
      </c>
      <c r="L36" s="15" t="s">
        <v>50</v>
      </c>
      <c r="M36" s="2"/>
      <c r="N36" s="2" t="s">
        <v>52</v>
      </c>
    </row>
    <row r="37" customFormat="false" ht="75" hidden="false" customHeight="true" outlineLevel="0" collapsed="false">
      <c r="A37" s="2" t="n">
        <v>33</v>
      </c>
      <c r="B37" s="2" t="n">
        <v>2025</v>
      </c>
      <c r="C37" s="2" t="s">
        <v>267</v>
      </c>
      <c r="D37" s="2" t="s">
        <v>268</v>
      </c>
      <c r="E37" s="2" t="s">
        <v>269</v>
      </c>
      <c r="F37" s="14" t="s">
        <v>270</v>
      </c>
      <c r="G37" s="2" t="s">
        <v>271</v>
      </c>
      <c r="H37" s="2" t="s">
        <v>82</v>
      </c>
      <c r="I37" s="2" t="s">
        <v>272</v>
      </c>
      <c r="J37" s="2" t="s">
        <v>84</v>
      </c>
      <c r="K37" s="2" t="s">
        <v>273</v>
      </c>
      <c r="L37" s="15" t="s">
        <v>84</v>
      </c>
      <c r="M37" s="2"/>
      <c r="N37" s="2" t="s">
        <v>52</v>
      </c>
    </row>
    <row r="38" customFormat="false" ht="75" hidden="false" customHeight="true" outlineLevel="0" collapsed="false">
      <c r="A38" s="2" t="n">
        <v>34</v>
      </c>
      <c r="B38" s="2" t="n">
        <v>2018</v>
      </c>
      <c r="C38" s="2" t="s">
        <v>274</v>
      </c>
      <c r="D38" s="2" t="s">
        <v>275</v>
      </c>
      <c r="E38" s="2" t="s">
        <v>221</v>
      </c>
      <c r="F38" s="14" t="s">
        <v>276</v>
      </c>
      <c r="G38" s="2" t="s">
        <v>277</v>
      </c>
      <c r="H38" s="2" t="s">
        <v>99</v>
      </c>
      <c r="I38" s="2" t="s">
        <v>100</v>
      </c>
      <c r="J38" s="2" t="s">
        <v>84</v>
      </c>
      <c r="K38" s="2" t="s">
        <v>278</v>
      </c>
      <c r="L38" s="15" t="s">
        <v>84</v>
      </c>
      <c r="M38" s="2"/>
      <c r="N38" s="2" t="s">
        <v>52</v>
      </c>
    </row>
    <row r="39" customFormat="false" ht="75" hidden="false" customHeight="true" outlineLevel="0" collapsed="false">
      <c r="A39" s="2" t="n">
        <v>35</v>
      </c>
      <c r="B39" s="2" t="n">
        <v>2022</v>
      </c>
      <c r="C39" s="2" t="s">
        <v>279</v>
      </c>
      <c r="D39" s="2" t="s">
        <v>280</v>
      </c>
      <c r="E39" s="2" t="s">
        <v>281</v>
      </c>
      <c r="F39" s="14" t="s">
        <v>282</v>
      </c>
      <c r="G39" s="2" t="s">
        <v>283</v>
      </c>
      <c r="H39" s="2" t="s">
        <v>202</v>
      </c>
      <c r="I39" s="2" t="s">
        <v>284</v>
      </c>
      <c r="J39" s="2" t="s">
        <v>84</v>
      </c>
      <c r="K39" s="2" t="s">
        <v>285</v>
      </c>
      <c r="L39" s="15" t="s">
        <v>84</v>
      </c>
      <c r="M39" s="2"/>
      <c r="N39" s="2" t="s">
        <v>52</v>
      </c>
    </row>
    <row r="40" customFormat="false" ht="75" hidden="false" customHeight="true" outlineLevel="0" collapsed="false">
      <c r="A40" s="2" t="n">
        <v>36</v>
      </c>
      <c r="B40" s="2" t="n">
        <v>2024</v>
      </c>
      <c r="C40" s="2" t="s">
        <v>286</v>
      </c>
      <c r="D40" s="2" t="s">
        <v>287</v>
      </c>
      <c r="E40" s="2" t="s">
        <v>221</v>
      </c>
      <c r="F40" s="14" t="s">
        <v>288</v>
      </c>
      <c r="G40" s="2" t="s">
        <v>289</v>
      </c>
      <c r="H40" s="2" t="s">
        <v>99</v>
      </c>
      <c r="I40" s="2" t="s">
        <v>290</v>
      </c>
      <c r="J40" s="2" t="s">
        <v>84</v>
      </c>
      <c r="K40" s="2" t="s">
        <v>291</v>
      </c>
      <c r="L40" s="15" t="s">
        <v>84</v>
      </c>
      <c r="M40" s="2"/>
      <c r="N40" s="2" t="s">
        <v>52</v>
      </c>
    </row>
    <row r="41" customFormat="false" ht="75" hidden="false" customHeight="true" outlineLevel="0" collapsed="false">
      <c r="A41" s="2" t="n">
        <v>37</v>
      </c>
      <c r="B41" s="2" t="n">
        <v>2024</v>
      </c>
      <c r="C41" s="2" t="s">
        <v>292</v>
      </c>
      <c r="D41" s="2" t="s">
        <v>293</v>
      </c>
      <c r="E41" s="2" t="s">
        <v>294</v>
      </c>
      <c r="F41" s="14" t="s">
        <v>295</v>
      </c>
      <c r="G41" s="2" t="s">
        <v>296</v>
      </c>
      <c r="H41" s="2" t="s">
        <v>148</v>
      </c>
      <c r="I41" s="2" t="s">
        <v>297</v>
      </c>
      <c r="J41" s="2" t="s">
        <v>150</v>
      </c>
      <c r="K41" s="2" t="s">
        <v>298</v>
      </c>
      <c r="L41" s="15" t="s">
        <v>150</v>
      </c>
      <c r="M41" s="2"/>
      <c r="N41" s="2" t="s">
        <v>52</v>
      </c>
    </row>
    <row r="42" customFormat="false" ht="75" hidden="false" customHeight="true" outlineLevel="0" collapsed="false">
      <c r="A42" s="2" t="n">
        <v>38</v>
      </c>
      <c r="B42" s="2" t="n">
        <v>2024</v>
      </c>
      <c r="C42" s="2" t="s">
        <v>299</v>
      </c>
      <c r="D42" s="2" t="s">
        <v>300</v>
      </c>
      <c r="E42" s="2" t="s">
        <v>301</v>
      </c>
      <c r="F42" s="14" t="s">
        <v>302</v>
      </c>
      <c r="G42" s="2" t="s">
        <v>303</v>
      </c>
      <c r="H42" s="2" t="s">
        <v>91</v>
      </c>
      <c r="I42" s="2" t="s">
        <v>304</v>
      </c>
      <c r="J42" s="2" t="s">
        <v>50</v>
      </c>
      <c r="K42" s="2" t="s">
        <v>305</v>
      </c>
      <c r="L42" s="15" t="s">
        <v>50</v>
      </c>
      <c r="M42" s="2"/>
      <c r="N42" s="2" t="s">
        <v>52</v>
      </c>
    </row>
    <row r="43" customFormat="false" ht="75" hidden="false" customHeight="true" outlineLevel="0" collapsed="false">
      <c r="A43" s="2" t="n">
        <v>39</v>
      </c>
      <c r="B43" s="2" t="n">
        <v>2025</v>
      </c>
      <c r="C43" s="2" t="s">
        <v>306</v>
      </c>
      <c r="D43" s="2" t="s">
        <v>287</v>
      </c>
      <c r="E43" s="2" t="s">
        <v>221</v>
      </c>
      <c r="F43" s="14" t="s">
        <v>307</v>
      </c>
      <c r="G43" s="2" t="s">
        <v>308</v>
      </c>
      <c r="H43" s="2" t="s">
        <v>91</v>
      </c>
      <c r="I43" s="2" t="s">
        <v>309</v>
      </c>
      <c r="J43" s="2" t="s">
        <v>50</v>
      </c>
      <c r="K43" s="2" t="s">
        <v>310</v>
      </c>
      <c r="L43" s="15" t="s">
        <v>50</v>
      </c>
      <c r="M43" s="2"/>
      <c r="N43" s="2" t="s">
        <v>52</v>
      </c>
    </row>
    <row r="44" customFormat="false" ht="75" hidden="false" customHeight="true" outlineLevel="0" collapsed="false">
      <c r="A44" s="2" t="n">
        <v>40</v>
      </c>
      <c r="B44" s="2" t="n">
        <v>2015</v>
      </c>
      <c r="C44" s="2" t="s">
        <v>311</v>
      </c>
      <c r="D44" s="2" t="s">
        <v>137</v>
      </c>
      <c r="E44" s="2" t="s">
        <v>111</v>
      </c>
      <c r="F44" s="14" t="s">
        <v>312</v>
      </c>
      <c r="G44" s="2" t="s">
        <v>313</v>
      </c>
      <c r="H44" s="2" t="s">
        <v>91</v>
      </c>
      <c r="I44" s="2" t="s">
        <v>314</v>
      </c>
      <c r="J44" s="2" t="s">
        <v>50</v>
      </c>
      <c r="K44" s="2" t="s">
        <v>315</v>
      </c>
      <c r="L44" s="15" t="s">
        <v>50</v>
      </c>
      <c r="M44" s="2"/>
      <c r="N44" s="2" t="s">
        <v>52</v>
      </c>
    </row>
    <row r="45" customFormat="false" ht="75" hidden="false" customHeight="true" outlineLevel="0" collapsed="false">
      <c r="A45" s="2" t="n">
        <v>41</v>
      </c>
      <c r="B45" s="2" t="n">
        <v>2024</v>
      </c>
      <c r="C45" s="2" t="s">
        <v>316</v>
      </c>
      <c r="D45" s="2" t="s">
        <v>317</v>
      </c>
      <c r="E45" s="2" t="s">
        <v>318</v>
      </c>
      <c r="F45" s="14" t="s">
        <v>319</v>
      </c>
      <c r="G45" s="2" t="s">
        <v>320</v>
      </c>
      <c r="H45" s="2" t="s">
        <v>66</v>
      </c>
      <c r="I45" s="2" t="s">
        <v>321</v>
      </c>
      <c r="J45" s="2" t="s">
        <v>50</v>
      </c>
      <c r="K45" s="2" t="s">
        <v>322</v>
      </c>
      <c r="L45" s="15" t="s">
        <v>50</v>
      </c>
      <c r="M45" s="2"/>
      <c r="N45" s="2" t="s">
        <v>52</v>
      </c>
    </row>
    <row r="46" customFormat="false" ht="75" hidden="false" customHeight="true" outlineLevel="0" collapsed="false">
      <c r="A46" s="2" t="n">
        <v>42</v>
      </c>
      <c r="B46" s="2" t="n">
        <v>2024</v>
      </c>
      <c r="C46" s="2" t="s">
        <v>323</v>
      </c>
      <c r="D46" s="2" t="s">
        <v>324</v>
      </c>
      <c r="E46" s="2" t="s">
        <v>325</v>
      </c>
      <c r="F46" s="14" t="s">
        <v>326</v>
      </c>
      <c r="G46" s="2" t="s">
        <v>327</v>
      </c>
      <c r="H46" s="2" t="s">
        <v>148</v>
      </c>
      <c r="I46" s="2" t="s">
        <v>328</v>
      </c>
      <c r="J46" s="2" t="s">
        <v>150</v>
      </c>
      <c r="K46" s="2" t="s">
        <v>329</v>
      </c>
      <c r="L46" s="15" t="s">
        <v>150</v>
      </c>
      <c r="M46" s="2"/>
      <c r="N46" s="2" t="s">
        <v>330</v>
      </c>
    </row>
    <row r="47" customFormat="false" ht="75" hidden="false" customHeight="true" outlineLevel="0" collapsed="false">
      <c r="A47" s="2" t="n">
        <v>43</v>
      </c>
      <c r="B47" s="2" t="n">
        <v>2023</v>
      </c>
      <c r="C47" s="2" t="s">
        <v>331</v>
      </c>
      <c r="D47" s="2" t="s">
        <v>332</v>
      </c>
      <c r="E47" s="2" t="s">
        <v>221</v>
      </c>
      <c r="F47" s="14" t="s">
        <v>333</v>
      </c>
      <c r="G47" s="2" t="s">
        <v>334</v>
      </c>
      <c r="H47" s="2" t="s">
        <v>99</v>
      </c>
      <c r="I47" s="2" t="s">
        <v>100</v>
      </c>
      <c r="J47" s="2" t="s">
        <v>50</v>
      </c>
      <c r="K47" s="2" t="s">
        <v>335</v>
      </c>
      <c r="L47" s="15" t="s">
        <v>50</v>
      </c>
      <c r="M47" s="2"/>
      <c r="N47" s="2" t="s">
        <v>52</v>
      </c>
    </row>
    <row r="48" customFormat="false" ht="75" hidden="false" customHeight="true" outlineLevel="0" collapsed="false">
      <c r="A48" s="2" t="n">
        <v>44</v>
      </c>
      <c r="B48" s="2" t="n">
        <v>2011</v>
      </c>
      <c r="C48" s="2" t="s">
        <v>336</v>
      </c>
      <c r="D48" s="2" t="s">
        <v>337</v>
      </c>
      <c r="E48" s="2" t="s">
        <v>338</v>
      </c>
      <c r="F48" s="14" t="s">
        <v>339</v>
      </c>
      <c r="G48" s="2" t="s">
        <v>340</v>
      </c>
      <c r="H48" s="2" t="s">
        <v>181</v>
      </c>
      <c r="I48" s="2" t="s">
        <v>100</v>
      </c>
      <c r="J48" s="2" t="s">
        <v>50</v>
      </c>
      <c r="K48" s="2" t="s">
        <v>341</v>
      </c>
      <c r="L48" s="15" t="s">
        <v>50</v>
      </c>
      <c r="M48" s="2"/>
      <c r="N48" s="2" t="s">
        <v>52</v>
      </c>
    </row>
    <row r="49" customFormat="false" ht="75" hidden="false" customHeight="true" outlineLevel="0" collapsed="false">
      <c r="A49" s="2" t="n">
        <v>45</v>
      </c>
      <c r="B49" s="2" t="n">
        <v>2021</v>
      </c>
      <c r="C49" s="2" t="s">
        <v>342</v>
      </c>
      <c r="D49" s="2" t="s">
        <v>343</v>
      </c>
      <c r="E49" s="2" t="s">
        <v>344</v>
      </c>
      <c r="F49" s="14" t="s">
        <v>345</v>
      </c>
      <c r="G49" s="2" t="s">
        <v>346</v>
      </c>
      <c r="H49" s="2" t="s">
        <v>99</v>
      </c>
      <c r="I49" s="2" t="s">
        <v>347</v>
      </c>
      <c r="J49" s="2" t="s">
        <v>50</v>
      </c>
      <c r="K49" s="2" t="s">
        <v>348</v>
      </c>
      <c r="L49" s="15" t="s">
        <v>50</v>
      </c>
      <c r="M49" s="2"/>
      <c r="N49" s="2" t="s">
        <v>52</v>
      </c>
    </row>
    <row r="50" customFormat="false" ht="75" hidden="false" customHeight="true" outlineLevel="0" collapsed="false">
      <c r="A50" s="2" t="n">
        <v>46</v>
      </c>
      <c r="B50" s="2" t="n">
        <v>2024</v>
      </c>
      <c r="C50" s="2" t="s">
        <v>349</v>
      </c>
      <c r="D50" s="2" t="s">
        <v>300</v>
      </c>
      <c r="E50" s="2" t="s">
        <v>111</v>
      </c>
      <c r="F50" s="14" t="s">
        <v>350</v>
      </c>
      <c r="G50" s="2" t="s">
        <v>351</v>
      </c>
      <c r="H50" s="2" t="s">
        <v>195</v>
      </c>
      <c r="I50" s="2" t="s">
        <v>352</v>
      </c>
      <c r="J50" s="2" t="s">
        <v>50</v>
      </c>
      <c r="K50" s="2" t="s">
        <v>353</v>
      </c>
      <c r="L50" s="15" t="s">
        <v>50</v>
      </c>
      <c r="M50" s="2"/>
      <c r="N50" s="2" t="s">
        <v>52</v>
      </c>
    </row>
    <row r="51" customFormat="false" ht="75" hidden="false" customHeight="true" outlineLevel="0" collapsed="false">
      <c r="A51" s="2" t="n">
        <v>47</v>
      </c>
      <c r="B51" s="2" t="n">
        <v>2020</v>
      </c>
      <c r="C51" s="2" t="s">
        <v>354</v>
      </c>
      <c r="D51" s="2" t="s">
        <v>110</v>
      </c>
      <c r="E51" s="2" t="s">
        <v>178</v>
      </c>
      <c r="F51" s="14" t="s">
        <v>355</v>
      </c>
      <c r="G51" s="2" t="s">
        <v>356</v>
      </c>
      <c r="H51" s="2" t="s">
        <v>91</v>
      </c>
      <c r="I51" s="2" t="s">
        <v>357</v>
      </c>
      <c r="J51" s="2" t="s">
        <v>50</v>
      </c>
      <c r="K51" s="2" t="s">
        <v>358</v>
      </c>
      <c r="L51" s="15" t="s">
        <v>50</v>
      </c>
      <c r="M51" s="2"/>
      <c r="N51" s="2" t="s">
        <v>52</v>
      </c>
    </row>
    <row r="52" customFormat="false" ht="75" hidden="false" customHeight="true" outlineLevel="0" collapsed="false">
      <c r="A52" s="2" t="n">
        <v>48</v>
      </c>
      <c r="B52" s="2" t="n">
        <v>2013</v>
      </c>
      <c r="C52" s="2" t="s">
        <v>359</v>
      </c>
      <c r="D52" s="2"/>
      <c r="E52" s="2" t="s">
        <v>360</v>
      </c>
      <c r="F52" s="14" t="s">
        <v>361</v>
      </c>
      <c r="G52" s="2"/>
      <c r="H52" s="2" t="s">
        <v>195</v>
      </c>
      <c r="I52" s="2" t="s">
        <v>362</v>
      </c>
      <c r="J52" s="2" t="s">
        <v>50</v>
      </c>
      <c r="K52" s="2" t="s">
        <v>363</v>
      </c>
      <c r="L52" s="15" t="s">
        <v>50</v>
      </c>
      <c r="M52" s="2"/>
      <c r="N52" s="2" t="s">
        <v>52</v>
      </c>
    </row>
    <row r="53" customFormat="false" ht="75" hidden="false" customHeight="true" outlineLevel="0" collapsed="false">
      <c r="A53" s="2" t="n">
        <v>49</v>
      </c>
      <c r="B53" s="2" t="n">
        <v>2022</v>
      </c>
      <c r="C53" s="2" t="s">
        <v>364</v>
      </c>
      <c r="D53" s="2" t="s">
        <v>365</v>
      </c>
      <c r="E53" s="2" t="s">
        <v>45</v>
      </c>
      <c r="F53" s="14" t="s">
        <v>366</v>
      </c>
      <c r="G53" s="2" t="s">
        <v>367</v>
      </c>
      <c r="H53" s="2" t="s">
        <v>74</v>
      </c>
      <c r="I53" s="2" t="s">
        <v>368</v>
      </c>
      <c r="J53" s="2" t="s">
        <v>50</v>
      </c>
      <c r="K53" s="2" t="s">
        <v>369</v>
      </c>
      <c r="L53" s="15" t="s">
        <v>50</v>
      </c>
      <c r="M53" s="2"/>
      <c r="N53" s="2" t="s">
        <v>52</v>
      </c>
    </row>
    <row r="54" customFormat="false" ht="75" hidden="false" customHeight="true" outlineLevel="0" collapsed="false">
      <c r="A54" s="2" t="n">
        <v>50</v>
      </c>
      <c r="B54" s="2" t="n">
        <v>2021</v>
      </c>
      <c r="C54" s="2" t="s">
        <v>370</v>
      </c>
      <c r="D54" s="2" t="s">
        <v>130</v>
      </c>
      <c r="E54" s="2" t="s">
        <v>262</v>
      </c>
      <c r="F54" s="14" t="s">
        <v>371</v>
      </c>
      <c r="G54" s="2" t="s">
        <v>372</v>
      </c>
      <c r="H54" s="2" t="s">
        <v>195</v>
      </c>
      <c r="I54" s="2" t="s">
        <v>100</v>
      </c>
      <c r="J54" s="2" t="s">
        <v>50</v>
      </c>
      <c r="K54" s="2" t="s">
        <v>373</v>
      </c>
      <c r="L54" s="15" t="s">
        <v>50</v>
      </c>
      <c r="M54" s="2"/>
      <c r="N54" s="2" t="s">
        <v>52</v>
      </c>
    </row>
    <row r="55" customFormat="false" ht="75" hidden="false" customHeight="true" outlineLevel="0" collapsed="false">
      <c r="A55" s="2" t="n">
        <v>51</v>
      </c>
      <c r="B55" s="2" t="n">
        <v>2024</v>
      </c>
      <c r="C55" s="2" t="s">
        <v>374</v>
      </c>
      <c r="D55" s="2" t="s">
        <v>375</v>
      </c>
      <c r="E55" s="2" t="s">
        <v>178</v>
      </c>
      <c r="F55" s="14" t="s">
        <v>376</v>
      </c>
      <c r="G55" s="2" t="s">
        <v>377</v>
      </c>
      <c r="H55" s="2" t="s">
        <v>202</v>
      </c>
      <c r="I55" s="2" t="s">
        <v>378</v>
      </c>
      <c r="J55" s="2" t="s">
        <v>50</v>
      </c>
      <c r="K55" s="2" t="s">
        <v>379</v>
      </c>
      <c r="L55" s="15" t="s">
        <v>50</v>
      </c>
      <c r="M55" s="2"/>
      <c r="N55" s="2" t="s">
        <v>52</v>
      </c>
    </row>
    <row r="56" customFormat="false" ht="75" hidden="false" customHeight="true" outlineLevel="0" collapsed="false">
      <c r="A56" s="2" t="n">
        <v>52</v>
      </c>
      <c r="B56" s="2" t="n">
        <v>2022</v>
      </c>
      <c r="C56" s="2" t="s">
        <v>380</v>
      </c>
      <c r="D56" s="2" t="s">
        <v>44</v>
      </c>
      <c r="E56" s="2" t="s">
        <v>111</v>
      </c>
      <c r="F56" s="14" t="s">
        <v>381</v>
      </c>
      <c r="G56" s="2" t="s">
        <v>382</v>
      </c>
      <c r="H56" s="2" t="s">
        <v>166</v>
      </c>
      <c r="I56" s="2" t="s">
        <v>383</v>
      </c>
      <c r="J56" s="2" t="s">
        <v>50</v>
      </c>
      <c r="K56" s="2" t="s">
        <v>384</v>
      </c>
      <c r="L56" s="15" t="s">
        <v>50</v>
      </c>
      <c r="M56" s="2"/>
      <c r="N56" s="2" t="s">
        <v>52</v>
      </c>
    </row>
    <row r="57" customFormat="false" ht="75" hidden="false" customHeight="true" outlineLevel="0" collapsed="false">
      <c r="A57" s="2" t="n">
        <v>53</v>
      </c>
      <c r="B57" s="2" t="n">
        <v>2025</v>
      </c>
      <c r="C57" s="2" t="s">
        <v>385</v>
      </c>
      <c r="D57" s="2" t="s">
        <v>386</v>
      </c>
      <c r="E57" s="2" t="s">
        <v>387</v>
      </c>
      <c r="F57" s="14" t="s">
        <v>388</v>
      </c>
      <c r="G57" s="2" t="s">
        <v>389</v>
      </c>
      <c r="H57" s="2" t="s">
        <v>99</v>
      </c>
      <c r="I57" s="2" t="s">
        <v>390</v>
      </c>
      <c r="J57" s="2" t="s">
        <v>50</v>
      </c>
      <c r="K57" s="2" t="s">
        <v>391</v>
      </c>
      <c r="L57" s="15" t="s">
        <v>50</v>
      </c>
      <c r="M57" s="2"/>
      <c r="N57" s="2" t="s">
        <v>52</v>
      </c>
    </row>
    <row r="58" customFormat="false" ht="75" hidden="false" customHeight="true" outlineLevel="0" collapsed="false">
      <c r="A58" s="2" t="n">
        <v>54</v>
      </c>
      <c r="B58" s="2" t="n">
        <v>2012</v>
      </c>
      <c r="C58" s="2" t="s">
        <v>392</v>
      </c>
      <c r="D58" s="2" t="s">
        <v>393</v>
      </c>
      <c r="E58" s="2" t="s">
        <v>394</v>
      </c>
      <c r="F58" s="14" t="s">
        <v>395</v>
      </c>
      <c r="G58" s="2" t="s">
        <v>396</v>
      </c>
      <c r="H58" s="2" t="s">
        <v>181</v>
      </c>
      <c r="I58" s="2" t="s">
        <v>100</v>
      </c>
      <c r="J58" s="2" t="s">
        <v>84</v>
      </c>
      <c r="K58" s="2" t="s">
        <v>397</v>
      </c>
      <c r="L58" s="15" t="s">
        <v>84</v>
      </c>
      <c r="M58" s="2"/>
      <c r="N58" s="2" t="s">
        <v>52</v>
      </c>
    </row>
    <row r="59" customFormat="false" ht="75" hidden="false" customHeight="true" outlineLevel="0" collapsed="false">
      <c r="A59" s="2" t="n">
        <v>55</v>
      </c>
      <c r="B59" s="2" t="n">
        <v>2015</v>
      </c>
      <c r="C59" s="2" t="s">
        <v>398</v>
      </c>
      <c r="D59" s="2" t="s">
        <v>399</v>
      </c>
      <c r="E59" s="2" t="s">
        <v>400</v>
      </c>
      <c r="F59" s="14" t="s">
        <v>401</v>
      </c>
      <c r="G59" s="2"/>
      <c r="H59" s="2" t="s">
        <v>181</v>
      </c>
      <c r="I59" s="2" t="s">
        <v>402</v>
      </c>
      <c r="J59" s="2" t="s">
        <v>150</v>
      </c>
      <c r="K59" s="2" t="s">
        <v>403</v>
      </c>
      <c r="L59" s="15" t="s">
        <v>150</v>
      </c>
      <c r="M59" s="2"/>
      <c r="N59" s="2" t="s">
        <v>52</v>
      </c>
    </row>
    <row r="60" customFormat="false" ht="75" hidden="false" customHeight="true" outlineLevel="0" collapsed="false">
      <c r="A60" s="2" t="n">
        <v>56</v>
      </c>
      <c r="B60" s="2" t="n">
        <v>2023</v>
      </c>
      <c r="C60" s="2" t="s">
        <v>404</v>
      </c>
      <c r="D60" s="2" t="s">
        <v>343</v>
      </c>
      <c r="E60" s="2" t="s">
        <v>55</v>
      </c>
      <c r="F60" s="14" t="s">
        <v>405</v>
      </c>
      <c r="G60" s="2" t="s">
        <v>406</v>
      </c>
      <c r="H60" s="2" t="s">
        <v>195</v>
      </c>
      <c r="I60" s="2" t="s">
        <v>407</v>
      </c>
      <c r="J60" s="2" t="s">
        <v>50</v>
      </c>
      <c r="K60" s="2" t="s">
        <v>408</v>
      </c>
      <c r="L60" s="15" t="s">
        <v>50</v>
      </c>
      <c r="M60" s="2"/>
      <c r="N60" s="2" t="s">
        <v>52</v>
      </c>
    </row>
    <row r="61" customFormat="false" ht="75" hidden="false" customHeight="true" outlineLevel="0" collapsed="false">
      <c r="A61" s="2" t="n">
        <v>57</v>
      </c>
      <c r="B61" s="2" t="n">
        <v>2017</v>
      </c>
      <c r="C61" s="16" t="s">
        <v>409</v>
      </c>
      <c r="D61" s="2" t="s">
        <v>410</v>
      </c>
      <c r="E61" s="2" t="s">
        <v>111</v>
      </c>
      <c r="F61" s="14" t="s">
        <v>411</v>
      </c>
      <c r="G61" s="2" t="s">
        <v>412</v>
      </c>
      <c r="H61" s="2" t="s">
        <v>91</v>
      </c>
      <c r="I61" s="2" t="s">
        <v>413</v>
      </c>
      <c r="J61" s="2" t="s">
        <v>50</v>
      </c>
      <c r="K61" s="2" t="s">
        <v>414</v>
      </c>
      <c r="L61" s="15" t="s">
        <v>50</v>
      </c>
      <c r="M61" s="2"/>
      <c r="N61" s="2" t="s">
        <v>52</v>
      </c>
    </row>
    <row r="62" customFormat="false" ht="75" hidden="false" customHeight="true" outlineLevel="0" collapsed="false">
      <c r="A62" s="2" t="n">
        <v>58</v>
      </c>
      <c r="B62" s="2" t="n">
        <v>2022</v>
      </c>
      <c r="C62" s="2" t="s">
        <v>415</v>
      </c>
      <c r="D62" s="2" t="s">
        <v>137</v>
      </c>
      <c r="E62" s="2" t="s">
        <v>111</v>
      </c>
      <c r="F62" s="14" t="s">
        <v>416</v>
      </c>
      <c r="G62" s="2" t="s">
        <v>417</v>
      </c>
      <c r="H62" s="2" t="s">
        <v>202</v>
      </c>
      <c r="I62" s="2" t="s">
        <v>418</v>
      </c>
      <c r="J62" s="2" t="s">
        <v>50</v>
      </c>
      <c r="K62" s="2" t="s">
        <v>419</v>
      </c>
      <c r="L62" s="15" t="s">
        <v>50</v>
      </c>
      <c r="M62" s="2"/>
      <c r="N62" s="2" t="s">
        <v>52</v>
      </c>
    </row>
    <row r="63" customFormat="false" ht="75" hidden="false" customHeight="true" outlineLevel="0" collapsed="false">
      <c r="A63" s="2" t="n">
        <v>59</v>
      </c>
      <c r="B63" s="2" t="n">
        <v>2025</v>
      </c>
      <c r="C63" s="2" t="s">
        <v>420</v>
      </c>
      <c r="D63" s="2" t="s">
        <v>421</v>
      </c>
      <c r="E63" s="2" t="s">
        <v>55</v>
      </c>
      <c r="F63" s="14" t="s">
        <v>422</v>
      </c>
      <c r="G63" s="2" t="s">
        <v>423</v>
      </c>
      <c r="H63" s="2" t="s">
        <v>195</v>
      </c>
      <c r="I63" s="2" t="s">
        <v>424</v>
      </c>
      <c r="J63" s="2" t="s">
        <v>50</v>
      </c>
      <c r="K63" s="2" t="s">
        <v>425</v>
      </c>
      <c r="L63" s="15" t="s">
        <v>50</v>
      </c>
      <c r="M63" s="2"/>
      <c r="N63" s="2" t="s">
        <v>52</v>
      </c>
    </row>
    <row r="64" customFormat="false" ht="75" hidden="false" customHeight="true" outlineLevel="0" collapsed="false">
      <c r="A64" s="2" t="n">
        <v>60</v>
      </c>
      <c r="B64" s="2" t="n">
        <v>2025</v>
      </c>
      <c r="C64" s="2" t="s">
        <v>426</v>
      </c>
      <c r="D64" s="2" t="s">
        <v>427</v>
      </c>
      <c r="E64" s="2" t="s">
        <v>111</v>
      </c>
      <c r="F64" s="14" t="s">
        <v>428</v>
      </c>
      <c r="G64" s="2" t="s">
        <v>429</v>
      </c>
      <c r="H64" s="2" t="s">
        <v>99</v>
      </c>
      <c r="I64" s="2" t="s">
        <v>430</v>
      </c>
      <c r="J64" s="2" t="s">
        <v>50</v>
      </c>
      <c r="K64" s="2" t="s">
        <v>431</v>
      </c>
      <c r="L64" s="15" t="s">
        <v>50</v>
      </c>
      <c r="M64" s="2"/>
      <c r="N64" s="2" t="s">
        <v>52</v>
      </c>
    </row>
    <row r="65" customFormat="false" ht="75" hidden="false" customHeight="true" outlineLevel="0" collapsed="false">
      <c r="A65" s="2" t="n">
        <v>61</v>
      </c>
      <c r="B65" s="2" t="n">
        <v>2023</v>
      </c>
      <c r="C65" s="2" t="s">
        <v>432</v>
      </c>
      <c r="D65" s="2" t="s">
        <v>433</v>
      </c>
      <c r="E65" s="2" t="s">
        <v>111</v>
      </c>
      <c r="F65" s="14" t="s">
        <v>434</v>
      </c>
      <c r="G65" s="2" t="s">
        <v>435</v>
      </c>
      <c r="H65" s="2" t="s">
        <v>91</v>
      </c>
      <c r="I65" s="2" t="s">
        <v>436</v>
      </c>
      <c r="J65" s="2" t="s">
        <v>50</v>
      </c>
      <c r="K65" s="2" t="s">
        <v>437</v>
      </c>
      <c r="L65" s="15" t="s">
        <v>50</v>
      </c>
      <c r="M65" s="2"/>
      <c r="N65" s="2" t="s">
        <v>52</v>
      </c>
    </row>
    <row r="66" customFormat="false" ht="75" hidden="false" customHeight="true" outlineLevel="0" collapsed="false">
      <c r="A66" s="2" t="n">
        <v>62</v>
      </c>
      <c r="B66" s="2" t="n">
        <v>2017</v>
      </c>
      <c r="C66" s="2" t="s">
        <v>438</v>
      </c>
      <c r="D66" s="2" t="s">
        <v>439</v>
      </c>
      <c r="E66" s="2" t="s">
        <v>111</v>
      </c>
      <c r="F66" s="14" t="s">
        <v>440</v>
      </c>
      <c r="G66" s="2" t="s">
        <v>441</v>
      </c>
      <c r="H66" s="2" t="s">
        <v>181</v>
      </c>
      <c r="I66" s="2" t="s">
        <v>100</v>
      </c>
      <c r="J66" s="2" t="s">
        <v>150</v>
      </c>
      <c r="K66" s="2" t="s">
        <v>442</v>
      </c>
      <c r="L66" s="15" t="s">
        <v>150</v>
      </c>
      <c r="M66" s="2"/>
      <c r="N66" s="2" t="s">
        <v>52</v>
      </c>
    </row>
    <row r="67" customFormat="false" ht="75" hidden="false" customHeight="true" outlineLevel="0" collapsed="false">
      <c r="A67" s="2" t="n">
        <v>63</v>
      </c>
      <c r="B67" s="2" t="n">
        <v>2025</v>
      </c>
      <c r="C67" s="2" t="s">
        <v>443</v>
      </c>
      <c r="D67" s="2" t="s">
        <v>444</v>
      </c>
      <c r="E67" s="2" t="s">
        <v>96</v>
      </c>
      <c r="F67" s="14" t="s">
        <v>445</v>
      </c>
      <c r="G67" s="2" t="s">
        <v>446</v>
      </c>
      <c r="H67" s="2" t="s">
        <v>202</v>
      </c>
      <c r="I67" s="2" t="s">
        <v>447</v>
      </c>
      <c r="J67" s="2" t="s">
        <v>84</v>
      </c>
      <c r="K67" s="2" t="s">
        <v>448</v>
      </c>
      <c r="L67" s="15" t="s">
        <v>84</v>
      </c>
      <c r="M67" s="2"/>
      <c r="N67" s="2" t="s">
        <v>52</v>
      </c>
    </row>
    <row r="68" customFormat="false" ht="75" hidden="false" customHeight="true" outlineLevel="0" collapsed="false">
      <c r="A68" s="2" t="n">
        <v>64</v>
      </c>
      <c r="B68" s="2" t="n">
        <v>2024</v>
      </c>
      <c r="C68" s="2" t="s">
        <v>449</v>
      </c>
      <c r="D68" s="2" t="s">
        <v>130</v>
      </c>
      <c r="E68" s="2" t="s">
        <v>55</v>
      </c>
      <c r="F68" s="14" t="s">
        <v>450</v>
      </c>
      <c r="G68" s="2" t="s">
        <v>451</v>
      </c>
      <c r="H68" s="2" t="s">
        <v>166</v>
      </c>
      <c r="I68" s="2" t="s">
        <v>100</v>
      </c>
      <c r="J68" s="2" t="s">
        <v>50</v>
      </c>
      <c r="K68" s="2" t="s">
        <v>452</v>
      </c>
      <c r="L68" s="15" t="s">
        <v>50</v>
      </c>
      <c r="M68" s="2"/>
      <c r="N68" s="2" t="s">
        <v>52</v>
      </c>
    </row>
    <row r="69" customFormat="false" ht="75" hidden="false" customHeight="true" outlineLevel="0" collapsed="false">
      <c r="A69" s="2" t="n">
        <v>65</v>
      </c>
      <c r="B69" s="2" t="n">
        <v>2023</v>
      </c>
      <c r="C69" s="2" t="s">
        <v>453</v>
      </c>
      <c r="D69" s="2" t="s">
        <v>454</v>
      </c>
      <c r="E69" s="2" t="s">
        <v>455</v>
      </c>
      <c r="F69" s="14" t="s">
        <v>456</v>
      </c>
      <c r="G69" s="2" t="s">
        <v>457</v>
      </c>
      <c r="H69" s="2" t="s">
        <v>195</v>
      </c>
      <c r="I69" s="2" t="s">
        <v>458</v>
      </c>
      <c r="J69" s="2" t="s">
        <v>150</v>
      </c>
      <c r="K69" s="2" t="s">
        <v>459</v>
      </c>
      <c r="L69" s="15" t="s">
        <v>150</v>
      </c>
      <c r="M69" s="2"/>
      <c r="N69" s="2" t="s">
        <v>330</v>
      </c>
    </row>
    <row r="70" customFormat="false" ht="75" hidden="false" customHeight="true" outlineLevel="0" collapsed="false">
      <c r="A70" s="2" t="n">
        <v>66</v>
      </c>
      <c r="B70" s="2" t="n">
        <v>2017</v>
      </c>
      <c r="C70" s="2" t="s">
        <v>460</v>
      </c>
      <c r="D70" s="2" t="s">
        <v>461</v>
      </c>
      <c r="E70" s="2" t="s">
        <v>462</v>
      </c>
      <c r="F70" s="14" t="s">
        <v>463</v>
      </c>
      <c r="G70" s="2" t="s">
        <v>464</v>
      </c>
      <c r="H70" s="2" t="s">
        <v>181</v>
      </c>
      <c r="I70" s="2" t="s">
        <v>465</v>
      </c>
      <c r="J70" s="2" t="s">
        <v>150</v>
      </c>
      <c r="K70" s="2" t="s">
        <v>466</v>
      </c>
      <c r="L70" s="15" t="s">
        <v>150</v>
      </c>
      <c r="M70" s="2"/>
      <c r="N70" s="2" t="s">
        <v>52</v>
      </c>
    </row>
    <row r="71" customFormat="false" ht="75" hidden="false" customHeight="true" outlineLevel="0" collapsed="false">
      <c r="A71" s="2" t="n">
        <v>67</v>
      </c>
      <c r="B71" s="2" t="n">
        <v>2012</v>
      </c>
      <c r="C71" s="2" t="s">
        <v>467</v>
      </c>
      <c r="D71" s="2" t="s">
        <v>393</v>
      </c>
      <c r="E71" s="2" t="s">
        <v>111</v>
      </c>
      <c r="F71" s="14" t="s">
        <v>468</v>
      </c>
      <c r="G71" s="2" t="s">
        <v>469</v>
      </c>
      <c r="H71" s="2" t="s">
        <v>99</v>
      </c>
      <c r="I71" s="2" t="s">
        <v>100</v>
      </c>
      <c r="J71" s="2" t="s">
        <v>50</v>
      </c>
      <c r="K71" s="2" t="s">
        <v>470</v>
      </c>
      <c r="L71" s="15" t="s">
        <v>50</v>
      </c>
      <c r="M71" s="2"/>
      <c r="N71" s="2" t="s">
        <v>52</v>
      </c>
    </row>
    <row r="72" customFormat="false" ht="75" hidden="false" customHeight="true" outlineLevel="0" collapsed="false">
      <c r="A72" s="2" t="n">
        <v>68</v>
      </c>
      <c r="B72" s="2" t="n">
        <v>2021</v>
      </c>
      <c r="C72" s="2" t="s">
        <v>471</v>
      </c>
      <c r="D72" s="2" t="s">
        <v>472</v>
      </c>
      <c r="E72" s="2" t="s">
        <v>221</v>
      </c>
      <c r="F72" s="14" t="s">
        <v>473</v>
      </c>
      <c r="G72" s="2" t="s">
        <v>474</v>
      </c>
      <c r="H72" s="2" t="s">
        <v>475</v>
      </c>
      <c r="I72" s="2" t="s">
        <v>476</v>
      </c>
      <c r="J72" s="2" t="s">
        <v>84</v>
      </c>
      <c r="K72" s="2" t="s">
        <v>477</v>
      </c>
      <c r="L72" s="15" t="s">
        <v>84</v>
      </c>
      <c r="M72" s="2"/>
      <c r="N72" s="2" t="s">
        <v>52</v>
      </c>
    </row>
    <row r="73" customFormat="false" ht="75" hidden="false" customHeight="true" outlineLevel="0" collapsed="false">
      <c r="A73" s="2" t="n">
        <v>69</v>
      </c>
      <c r="B73" s="2" t="n">
        <v>2025</v>
      </c>
      <c r="C73" s="2" t="s">
        <v>478</v>
      </c>
      <c r="D73" s="2" t="s">
        <v>479</v>
      </c>
      <c r="E73" s="2" t="s">
        <v>480</v>
      </c>
      <c r="F73" s="14" t="s">
        <v>481</v>
      </c>
      <c r="G73" s="2" t="s">
        <v>482</v>
      </c>
      <c r="H73" s="2" t="s">
        <v>166</v>
      </c>
      <c r="I73" s="2" t="s">
        <v>100</v>
      </c>
      <c r="J73" s="2" t="s">
        <v>50</v>
      </c>
      <c r="K73" s="2" t="s">
        <v>483</v>
      </c>
      <c r="L73" s="15" t="s">
        <v>50</v>
      </c>
      <c r="M73" s="2"/>
      <c r="N73" s="2" t="s">
        <v>52</v>
      </c>
    </row>
    <row r="74" customFormat="false" ht="75" hidden="false" customHeight="true" outlineLevel="0" collapsed="false">
      <c r="A74" s="2" t="n">
        <v>70</v>
      </c>
      <c r="B74" s="2" t="n">
        <v>2006</v>
      </c>
      <c r="C74" s="2" t="s">
        <v>484</v>
      </c>
      <c r="D74" s="2" t="s">
        <v>485</v>
      </c>
      <c r="E74" s="2" t="s">
        <v>486</v>
      </c>
      <c r="F74" s="14" t="s">
        <v>487</v>
      </c>
      <c r="G74" s="2" t="s">
        <v>488</v>
      </c>
      <c r="H74" s="2" t="s">
        <v>148</v>
      </c>
      <c r="I74" s="2" t="s">
        <v>489</v>
      </c>
      <c r="J74" s="2" t="s">
        <v>150</v>
      </c>
      <c r="K74" s="2" t="s">
        <v>490</v>
      </c>
      <c r="L74" s="15" t="s">
        <v>150</v>
      </c>
      <c r="M74" s="2"/>
      <c r="N74" s="2" t="s">
        <v>330</v>
      </c>
    </row>
    <row r="75" customFormat="false" ht="75" hidden="false" customHeight="true" outlineLevel="0" collapsed="false">
      <c r="A75" s="2" t="n">
        <v>71</v>
      </c>
      <c r="B75" s="2" t="n">
        <v>2021</v>
      </c>
      <c r="C75" s="2" t="s">
        <v>491</v>
      </c>
      <c r="D75" s="2" t="s">
        <v>287</v>
      </c>
      <c r="E75" s="2" t="s">
        <v>221</v>
      </c>
      <c r="F75" s="14" t="s">
        <v>492</v>
      </c>
      <c r="G75" s="2" t="s">
        <v>493</v>
      </c>
      <c r="H75" s="2" t="s">
        <v>91</v>
      </c>
      <c r="I75" s="2" t="s">
        <v>494</v>
      </c>
      <c r="J75" s="2" t="s">
        <v>84</v>
      </c>
      <c r="K75" s="2" t="s">
        <v>495</v>
      </c>
      <c r="L75" s="15" t="s">
        <v>84</v>
      </c>
      <c r="M75" s="2"/>
      <c r="N75" s="2" t="s">
        <v>52</v>
      </c>
    </row>
    <row r="76" customFormat="false" ht="75" hidden="false" customHeight="true" outlineLevel="0" collapsed="false">
      <c r="A76" s="2" t="n">
        <v>72</v>
      </c>
      <c r="B76" s="2" t="n">
        <v>2024</v>
      </c>
      <c r="C76" s="2" t="s">
        <v>496</v>
      </c>
      <c r="D76" s="2" t="s">
        <v>454</v>
      </c>
      <c r="E76" s="2" t="s">
        <v>497</v>
      </c>
      <c r="F76" s="14" t="s">
        <v>498</v>
      </c>
      <c r="G76" s="2" t="s">
        <v>499</v>
      </c>
      <c r="H76" s="2" t="s">
        <v>181</v>
      </c>
      <c r="I76" s="2" t="s">
        <v>500</v>
      </c>
      <c r="J76" s="2" t="s">
        <v>150</v>
      </c>
      <c r="K76" s="2" t="s">
        <v>501</v>
      </c>
      <c r="L76" s="15" t="s">
        <v>150</v>
      </c>
      <c r="M76" s="2"/>
      <c r="N76" s="2" t="s">
        <v>330</v>
      </c>
    </row>
    <row r="77" customFormat="false" ht="75" hidden="false" customHeight="true" outlineLevel="0" collapsed="false">
      <c r="A77" s="2" t="n">
        <v>73</v>
      </c>
      <c r="B77" s="2" t="n">
        <v>2025</v>
      </c>
      <c r="C77" s="2" t="s">
        <v>502</v>
      </c>
      <c r="D77" s="2" t="s">
        <v>503</v>
      </c>
      <c r="E77" s="2" t="s">
        <v>504</v>
      </c>
      <c r="F77" s="14" t="s">
        <v>505</v>
      </c>
      <c r="G77" s="2" t="s">
        <v>506</v>
      </c>
      <c r="H77" s="2" t="s">
        <v>66</v>
      </c>
      <c r="I77" s="2" t="s">
        <v>507</v>
      </c>
      <c r="J77" s="2" t="s">
        <v>50</v>
      </c>
      <c r="K77" s="2" t="s">
        <v>508</v>
      </c>
      <c r="L77" s="15" t="s">
        <v>50</v>
      </c>
      <c r="M77" s="2"/>
      <c r="N77" s="2" t="s">
        <v>52</v>
      </c>
    </row>
    <row r="78" customFormat="false" ht="75" hidden="false" customHeight="true" outlineLevel="0" collapsed="false">
      <c r="A78" s="2" t="n">
        <v>74</v>
      </c>
      <c r="B78" s="2" t="n">
        <v>2025</v>
      </c>
      <c r="C78" s="2" t="s">
        <v>509</v>
      </c>
      <c r="D78" s="2" t="s">
        <v>510</v>
      </c>
      <c r="E78" s="2" t="s">
        <v>55</v>
      </c>
      <c r="F78" s="14" t="s">
        <v>511</v>
      </c>
      <c r="G78" s="2" t="s">
        <v>512</v>
      </c>
      <c r="H78" s="2" t="s">
        <v>91</v>
      </c>
      <c r="I78" s="2" t="s">
        <v>513</v>
      </c>
      <c r="J78" s="2" t="s">
        <v>50</v>
      </c>
      <c r="K78" s="2" t="s">
        <v>514</v>
      </c>
      <c r="L78" s="15" t="s">
        <v>50</v>
      </c>
      <c r="M78" s="2"/>
      <c r="N78" s="2" t="s">
        <v>52</v>
      </c>
    </row>
    <row r="79" customFormat="false" ht="75" hidden="false" customHeight="true" outlineLevel="0" collapsed="false">
      <c r="A79" s="2" t="n">
        <v>75</v>
      </c>
      <c r="B79" s="2" t="n">
        <v>2025</v>
      </c>
      <c r="C79" s="2" t="s">
        <v>515</v>
      </c>
      <c r="D79" s="2" t="s">
        <v>516</v>
      </c>
      <c r="E79" s="2" t="s">
        <v>221</v>
      </c>
      <c r="F79" s="14" t="s">
        <v>517</v>
      </c>
      <c r="G79" s="2" t="s">
        <v>518</v>
      </c>
      <c r="H79" s="2" t="s">
        <v>58</v>
      </c>
      <c r="I79" s="2" t="s">
        <v>519</v>
      </c>
      <c r="J79" s="2" t="s">
        <v>84</v>
      </c>
      <c r="K79" s="2" t="s">
        <v>520</v>
      </c>
      <c r="L79" s="15" t="s">
        <v>84</v>
      </c>
      <c r="M79" s="2"/>
      <c r="N79" s="2" t="s">
        <v>52</v>
      </c>
    </row>
    <row r="80" customFormat="false" ht="75" hidden="false" customHeight="true" outlineLevel="0" collapsed="false">
      <c r="A80" s="2" t="n">
        <v>76</v>
      </c>
      <c r="B80" s="2" t="n">
        <v>2018</v>
      </c>
      <c r="C80" s="2" t="s">
        <v>521</v>
      </c>
      <c r="D80" s="2"/>
      <c r="E80" s="2" t="s">
        <v>55</v>
      </c>
      <c r="F80" s="14" t="s">
        <v>522</v>
      </c>
      <c r="G80" s="2"/>
      <c r="H80" s="2" t="s">
        <v>99</v>
      </c>
      <c r="I80" s="2" t="s">
        <v>100</v>
      </c>
      <c r="J80" s="2" t="s">
        <v>50</v>
      </c>
      <c r="K80" s="2" t="s">
        <v>523</v>
      </c>
      <c r="L80" s="15" t="s">
        <v>50</v>
      </c>
      <c r="M80" s="2"/>
      <c r="N80" s="2" t="s">
        <v>52</v>
      </c>
    </row>
    <row r="81" customFormat="false" ht="75" hidden="false" customHeight="true" outlineLevel="0" collapsed="false">
      <c r="A81" s="2" t="n">
        <v>77</v>
      </c>
      <c r="B81" s="2" t="n">
        <v>2025</v>
      </c>
      <c r="C81" s="2" t="s">
        <v>524</v>
      </c>
      <c r="D81" s="2" t="s">
        <v>525</v>
      </c>
      <c r="E81" s="2" t="s">
        <v>526</v>
      </c>
      <c r="F81" s="14" t="s">
        <v>527</v>
      </c>
      <c r="G81" s="2" t="s">
        <v>528</v>
      </c>
      <c r="H81" s="2" t="s">
        <v>99</v>
      </c>
      <c r="I81" s="2" t="s">
        <v>529</v>
      </c>
      <c r="J81" s="2" t="s">
        <v>84</v>
      </c>
      <c r="K81" s="2" t="s">
        <v>530</v>
      </c>
      <c r="L81" s="15" t="s">
        <v>84</v>
      </c>
      <c r="M81" s="2"/>
      <c r="N81" s="2" t="s">
        <v>52</v>
      </c>
    </row>
    <row r="82" customFormat="false" ht="75" hidden="false" customHeight="true" outlineLevel="0" collapsed="false">
      <c r="A82" s="2" t="n">
        <v>78</v>
      </c>
      <c r="B82" s="2" t="n">
        <v>2025</v>
      </c>
      <c r="C82" s="2" t="s">
        <v>531</v>
      </c>
      <c r="D82" s="2" t="s">
        <v>44</v>
      </c>
      <c r="E82" s="2" t="s">
        <v>55</v>
      </c>
      <c r="F82" s="14" t="s">
        <v>532</v>
      </c>
      <c r="G82" s="2" t="s">
        <v>533</v>
      </c>
      <c r="H82" s="2" t="s">
        <v>91</v>
      </c>
      <c r="I82" s="2" t="s">
        <v>534</v>
      </c>
      <c r="J82" s="2" t="s">
        <v>50</v>
      </c>
      <c r="K82" s="2" t="s">
        <v>535</v>
      </c>
      <c r="L82" s="15" t="s">
        <v>50</v>
      </c>
      <c r="M82" s="2"/>
      <c r="N82" s="2" t="s">
        <v>52</v>
      </c>
    </row>
    <row r="83" customFormat="false" ht="75" hidden="false" customHeight="true" outlineLevel="0" collapsed="false">
      <c r="A83" s="2" t="n">
        <v>79</v>
      </c>
      <c r="B83" s="2" t="n">
        <v>2022</v>
      </c>
      <c r="C83" s="2" t="s">
        <v>536</v>
      </c>
      <c r="D83" s="2" t="s">
        <v>117</v>
      </c>
      <c r="E83" s="2" t="s">
        <v>394</v>
      </c>
      <c r="F83" s="14" t="s">
        <v>537</v>
      </c>
      <c r="G83" s="2" t="s">
        <v>538</v>
      </c>
      <c r="H83" s="2" t="s">
        <v>91</v>
      </c>
      <c r="I83" s="2" t="s">
        <v>539</v>
      </c>
      <c r="J83" s="2" t="s">
        <v>50</v>
      </c>
      <c r="K83" s="2" t="s">
        <v>540</v>
      </c>
      <c r="L83" s="15" t="s">
        <v>50</v>
      </c>
      <c r="M83" s="2"/>
      <c r="N83" s="2" t="s">
        <v>52</v>
      </c>
    </row>
    <row r="84" customFormat="false" ht="75" hidden="false" customHeight="true" outlineLevel="0" collapsed="false">
      <c r="A84" s="2" t="n">
        <v>80</v>
      </c>
      <c r="B84" s="2" t="n">
        <v>2023</v>
      </c>
      <c r="C84" s="2" t="s">
        <v>541</v>
      </c>
      <c r="D84" s="2" t="s">
        <v>542</v>
      </c>
      <c r="E84" s="2" t="s">
        <v>543</v>
      </c>
      <c r="F84" s="14" t="s">
        <v>544</v>
      </c>
      <c r="G84" s="2" t="s">
        <v>545</v>
      </c>
      <c r="H84" s="2" t="s">
        <v>66</v>
      </c>
      <c r="I84" s="2" t="s">
        <v>546</v>
      </c>
      <c r="J84" s="2" t="s">
        <v>84</v>
      </c>
      <c r="K84" s="2" t="s">
        <v>547</v>
      </c>
      <c r="L84" s="15" t="s">
        <v>84</v>
      </c>
      <c r="M84" s="2"/>
      <c r="N84" s="2" t="s">
        <v>52</v>
      </c>
    </row>
    <row r="85" customFormat="false" ht="75" hidden="false" customHeight="true" outlineLevel="0" collapsed="false">
      <c r="A85" s="2" t="n">
        <v>81</v>
      </c>
      <c r="B85" s="2" t="n">
        <v>2023</v>
      </c>
      <c r="C85" s="2" t="s">
        <v>548</v>
      </c>
      <c r="D85" s="2" t="s">
        <v>549</v>
      </c>
      <c r="E85" s="2" t="s">
        <v>550</v>
      </c>
      <c r="F85" s="14" t="s">
        <v>551</v>
      </c>
      <c r="G85" s="2" t="s">
        <v>552</v>
      </c>
      <c r="H85" s="2" t="s">
        <v>195</v>
      </c>
      <c r="I85" s="2" t="s">
        <v>553</v>
      </c>
      <c r="J85" s="2" t="s">
        <v>84</v>
      </c>
      <c r="K85" s="2" t="s">
        <v>554</v>
      </c>
      <c r="L85" s="15" t="s">
        <v>84</v>
      </c>
      <c r="M85" s="2"/>
      <c r="N85" s="2" t="s">
        <v>52</v>
      </c>
    </row>
    <row r="86" customFormat="false" ht="75" hidden="false" customHeight="true" outlineLevel="0" collapsed="false">
      <c r="A86" s="2" t="n">
        <v>82</v>
      </c>
      <c r="B86" s="2" t="n">
        <v>2017</v>
      </c>
      <c r="C86" s="2" t="s">
        <v>555</v>
      </c>
      <c r="D86" s="16" t="s">
        <v>556</v>
      </c>
      <c r="E86" s="2" t="s">
        <v>262</v>
      </c>
      <c r="F86" s="14" t="s">
        <v>557</v>
      </c>
      <c r="G86" s="2" t="s">
        <v>558</v>
      </c>
      <c r="H86" s="2" t="s">
        <v>91</v>
      </c>
      <c r="I86" s="2" t="s">
        <v>559</v>
      </c>
      <c r="J86" s="2" t="s">
        <v>50</v>
      </c>
      <c r="K86" s="2" t="s">
        <v>560</v>
      </c>
      <c r="L86" s="15" t="s">
        <v>50</v>
      </c>
      <c r="M86" s="2"/>
      <c r="N86" s="2" t="s">
        <v>52</v>
      </c>
    </row>
    <row r="87" customFormat="false" ht="75" hidden="false" customHeight="true" outlineLevel="0" collapsed="false">
      <c r="A87" s="2" t="n">
        <v>83</v>
      </c>
      <c r="B87" s="2" t="n">
        <v>2025</v>
      </c>
      <c r="C87" s="2" t="s">
        <v>561</v>
      </c>
      <c r="D87" s="2" t="s">
        <v>268</v>
      </c>
      <c r="E87" s="2" t="s">
        <v>562</v>
      </c>
      <c r="F87" s="14" t="s">
        <v>563</v>
      </c>
      <c r="G87" s="2" t="s">
        <v>564</v>
      </c>
      <c r="H87" s="2" t="s">
        <v>99</v>
      </c>
      <c r="I87" s="2" t="s">
        <v>565</v>
      </c>
      <c r="J87" s="2" t="s">
        <v>84</v>
      </c>
      <c r="K87" s="2" t="s">
        <v>566</v>
      </c>
      <c r="L87" s="15" t="s">
        <v>84</v>
      </c>
      <c r="M87" s="2"/>
      <c r="N87" s="2" t="s">
        <v>52</v>
      </c>
    </row>
    <row r="88" customFormat="false" ht="75" hidden="false" customHeight="true" outlineLevel="0" collapsed="false">
      <c r="A88" s="2" t="n">
        <v>84</v>
      </c>
      <c r="B88" s="2" t="n">
        <v>2025</v>
      </c>
      <c r="C88" s="2" t="s">
        <v>567</v>
      </c>
      <c r="D88" s="2" t="s">
        <v>568</v>
      </c>
      <c r="E88" s="2" t="s">
        <v>569</v>
      </c>
      <c r="F88" s="14" t="s">
        <v>570</v>
      </c>
      <c r="G88" s="2" t="s">
        <v>571</v>
      </c>
      <c r="H88" s="2" t="s">
        <v>91</v>
      </c>
      <c r="I88" s="2" t="s">
        <v>572</v>
      </c>
      <c r="J88" s="2" t="s">
        <v>50</v>
      </c>
      <c r="K88" s="2" t="s">
        <v>573</v>
      </c>
      <c r="L88" s="15" t="s">
        <v>50</v>
      </c>
      <c r="M88" s="2"/>
      <c r="N88" s="2" t="s">
        <v>52</v>
      </c>
    </row>
    <row r="89" customFormat="false" ht="75" hidden="false" customHeight="true" outlineLevel="0" collapsed="false">
      <c r="A89" s="2" t="n">
        <v>85</v>
      </c>
      <c r="B89" s="2" t="n">
        <v>2024</v>
      </c>
      <c r="C89" s="2" t="s">
        <v>574</v>
      </c>
      <c r="D89" s="2" t="s">
        <v>130</v>
      </c>
      <c r="E89" s="2" t="s">
        <v>55</v>
      </c>
      <c r="F89" s="14" t="s">
        <v>575</v>
      </c>
      <c r="G89" s="2" t="s">
        <v>576</v>
      </c>
      <c r="H89" s="2" t="s">
        <v>242</v>
      </c>
      <c r="I89" s="2" t="s">
        <v>100</v>
      </c>
      <c r="J89" s="2" t="s">
        <v>50</v>
      </c>
      <c r="K89" s="2" t="s">
        <v>577</v>
      </c>
      <c r="L89" s="15" t="s">
        <v>50</v>
      </c>
      <c r="M89" s="2"/>
      <c r="N89" s="2" t="s">
        <v>52</v>
      </c>
    </row>
    <row r="90" customFormat="false" ht="75" hidden="false" customHeight="true" outlineLevel="0" collapsed="false">
      <c r="A90" s="2" t="n">
        <v>86</v>
      </c>
      <c r="B90" s="2" t="n">
        <v>2025</v>
      </c>
      <c r="C90" s="2" t="s">
        <v>578</v>
      </c>
      <c r="D90" s="2" t="s">
        <v>332</v>
      </c>
      <c r="E90" s="2" t="s">
        <v>579</v>
      </c>
      <c r="F90" s="14" t="s">
        <v>580</v>
      </c>
      <c r="G90" s="2" t="s">
        <v>581</v>
      </c>
      <c r="H90" s="2" t="s">
        <v>582</v>
      </c>
      <c r="I90" s="2" t="s">
        <v>100</v>
      </c>
      <c r="J90" s="2" t="s">
        <v>50</v>
      </c>
      <c r="K90" s="2" t="s">
        <v>583</v>
      </c>
      <c r="L90" s="15" t="s">
        <v>50</v>
      </c>
      <c r="M90" s="2"/>
      <c r="N90" s="2" t="s">
        <v>52</v>
      </c>
    </row>
    <row r="91" customFormat="false" ht="75" hidden="false" customHeight="true" outlineLevel="0" collapsed="false">
      <c r="A91" s="2" t="n">
        <v>87</v>
      </c>
      <c r="B91" s="2" t="n">
        <v>2025</v>
      </c>
      <c r="C91" s="2" t="s">
        <v>584</v>
      </c>
      <c r="D91" s="2" t="s">
        <v>585</v>
      </c>
      <c r="E91" s="2" t="s">
        <v>55</v>
      </c>
      <c r="F91" s="14" t="s">
        <v>586</v>
      </c>
      <c r="G91" s="2" t="s">
        <v>587</v>
      </c>
      <c r="H91" s="2" t="s">
        <v>588</v>
      </c>
      <c r="I91" s="2" t="s">
        <v>589</v>
      </c>
      <c r="J91" s="2" t="s">
        <v>84</v>
      </c>
      <c r="K91" s="2" t="s">
        <v>590</v>
      </c>
      <c r="L91" s="15" t="s">
        <v>84</v>
      </c>
      <c r="M91" s="2"/>
      <c r="N91" s="2" t="s">
        <v>52</v>
      </c>
    </row>
    <row r="92" customFormat="false" ht="75" hidden="false" customHeight="true" outlineLevel="0" collapsed="false">
      <c r="A92" s="2" t="n">
        <v>88</v>
      </c>
      <c r="B92" s="2" t="n">
        <v>2023</v>
      </c>
      <c r="C92" s="2" t="s">
        <v>591</v>
      </c>
      <c r="D92" s="2" t="s">
        <v>130</v>
      </c>
      <c r="E92" s="2" t="s">
        <v>592</v>
      </c>
      <c r="F92" s="14" t="s">
        <v>593</v>
      </c>
      <c r="G92" s="2" t="s">
        <v>594</v>
      </c>
      <c r="H92" s="2" t="s">
        <v>195</v>
      </c>
      <c r="I92" s="2" t="s">
        <v>100</v>
      </c>
      <c r="J92" s="2" t="s">
        <v>50</v>
      </c>
      <c r="K92" s="2" t="s">
        <v>595</v>
      </c>
      <c r="L92" s="15" t="s">
        <v>50</v>
      </c>
      <c r="M92" s="2"/>
      <c r="N92" s="2" t="s">
        <v>52</v>
      </c>
    </row>
    <row r="93" customFormat="false" ht="75" hidden="false" customHeight="true" outlineLevel="0" collapsed="false">
      <c r="A93" s="2" t="n">
        <v>89</v>
      </c>
      <c r="B93" s="2" t="n">
        <v>2025</v>
      </c>
      <c r="C93" s="2" t="s">
        <v>596</v>
      </c>
      <c r="D93" s="2" t="s">
        <v>597</v>
      </c>
      <c r="E93" s="2" t="s">
        <v>55</v>
      </c>
      <c r="F93" s="14" t="s">
        <v>598</v>
      </c>
      <c r="G93" s="2" t="s">
        <v>599</v>
      </c>
      <c r="H93" s="2" t="s">
        <v>195</v>
      </c>
      <c r="I93" s="2" t="s">
        <v>600</v>
      </c>
      <c r="J93" s="2" t="s">
        <v>50</v>
      </c>
      <c r="K93" s="2" t="s">
        <v>601</v>
      </c>
      <c r="L93" s="15" t="s">
        <v>50</v>
      </c>
      <c r="M93" s="2"/>
      <c r="N93" s="2" t="s">
        <v>52</v>
      </c>
    </row>
    <row r="94" customFormat="false" ht="75" hidden="false" customHeight="true" outlineLevel="0" collapsed="false">
      <c r="A94" s="2" t="n">
        <v>90</v>
      </c>
      <c r="B94" s="2" t="n">
        <v>2024</v>
      </c>
      <c r="C94" s="2" t="s">
        <v>602</v>
      </c>
      <c r="D94" s="2" t="s">
        <v>603</v>
      </c>
      <c r="E94" s="2" t="s">
        <v>111</v>
      </c>
      <c r="F94" s="14" t="s">
        <v>604</v>
      </c>
      <c r="G94" s="2" t="s">
        <v>605</v>
      </c>
      <c r="H94" s="2" t="s">
        <v>91</v>
      </c>
      <c r="I94" s="2" t="s">
        <v>606</v>
      </c>
      <c r="J94" s="2" t="s">
        <v>50</v>
      </c>
      <c r="K94" s="2" t="s">
        <v>607</v>
      </c>
      <c r="L94" s="15" t="s">
        <v>50</v>
      </c>
      <c r="M94" s="2"/>
      <c r="N94" s="2" t="s">
        <v>52</v>
      </c>
    </row>
    <row r="95" customFormat="false" ht="75" hidden="false" customHeight="true" outlineLevel="0" collapsed="false">
      <c r="A95" s="2" t="n">
        <v>91</v>
      </c>
      <c r="B95" s="2" t="n">
        <v>2013</v>
      </c>
      <c r="C95" s="2" t="s">
        <v>608</v>
      </c>
      <c r="D95" s="2"/>
      <c r="E95" s="2" t="s">
        <v>609</v>
      </c>
      <c r="F95" s="14" t="s">
        <v>610</v>
      </c>
      <c r="G95" s="2"/>
      <c r="H95" s="2" t="s">
        <v>148</v>
      </c>
      <c r="I95" s="2" t="s">
        <v>611</v>
      </c>
      <c r="J95" s="2" t="s">
        <v>150</v>
      </c>
      <c r="K95" s="2" t="s">
        <v>612</v>
      </c>
      <c r="L95" s="15" t="s">
        <v>150</v>
      </c>
      <c r="M95" s="2"/>
      <c r="N95" s="2" t="s">
        <v>52</v>
      </c>
    </row>
    <row r="96" customFormat="false" ht="75" hidden="false" customHeight="true" outlineLevel="0" collapsed="false">
      <c r="A96" s="2" t="n">
        <v>92</v>
      </c>
      <c r="B96" s="2" t="n">
        <v>2012</v>
      </c>
      <c r="C96" s="2" t="s">
        <v>613</v>
      </c>
      <c r="D96" s="2" t="s">
        <v>614</v>
      </c>
      <c r="E96" s="2" t="s">
        <v>615</v>
      </c>
      <c r="F96" s="14" t="s">
        <v>616</v>
      </c>
      <c r="G96" s="2" t="s">
        <v>617</v>
      </c>
      <c r="H96" s="2" t="s">
        <v>148</v>
      </c>
      <c r="I96" s="2" t="s">
        <v>618</v>
      </c>
      <c r="J96" s="2" t="s">
        <v>150</v>
      </c>
      <c r="K96" s="2" t="s">
        <v>619</v>
      </c>
      <c r="L96" s="15" t="s">
        <v>150</v>
      </c>
      <c r="M96" s="2"/>
      <c r="N96" s="2" t="s">
        <v>330</v>
      </c>
    </row>
    <row r="97" customFormat="false" ht="75" hidden="false" customHeight="true" outlineLevel="0" collapsed="false">
      <c r="A97" s="2" t="n">
        <v>93</v>
      </c>
      <c r="B97" s="2" t="n">
        <v>2021</v>
      </c>
      <c r="C97" s="2" t="s">
        <v>620</v>
      </c>
      <c r="D97" s="2" t="s">
        <v>621</v>
      </c>
      <c r="E97" s="2" t="s">
        <v>622</v>
      </c>
      <c r="F97" s="14" t="s">
        <v>623</v>
      </c>
      <c r="G97" s="2" t="s">
        <v>624</v>
      </c>
      <c r="H97" s="2" t="s">
        <v>48</v>
      </c>
      <c r="I97" s="2" t="s">
        <v>625</v>
      </c>
      <c r="J97" s="2" t="s">
        <v>84</v>
      </c>
      <c r="K97" s="2" t="s">
        <v>626</v>
      </c>
      <c r="L97" s="15" t="s">
        <v>84</v>
      </c>
      <c r="M97" s="2"/>
      <c r="N97" s="2" t="s">
        <v>52</v>
      </c>
    </row>
    <row r="98" customFormat="false" ht="75" hidden="false" customHeight="true" outlineLevel="0" collapsed="false">
      <c r="A98" s="2" t="n">
        <v>94</v>
      </c>
      <c r="B98" s="2" t="n">
        <v>2021</v>
      </c>
      <c r="C98" s="2" t="s">
        <v>627</v>
      </c>
      <c r="D98" s="2" t="s">
        <v>628</v>
      </c>
      <c r="E98" s="2" t="s">
        <v>269</v>
      </c>
      <c r="F98" s="14" t="s">
        <v>629</v>
      </c>
      <c r="G98" s="2" t="s">
        <v>630</v>
      </c>
      <c r="H98" s="2" t="s">
        <v>99</v>
      </c>
      <c r="I98" s="2" t="s">
        <v>631</v>
      </c>
      <c r="J98" s="2" t="s">
        <v>84</v>
      </c>
      <c r="K98" s="2" t="s">
        <v>632</v>
      </c>
      <c r="L98" s="15" t="s">
        <v>84</v>
      </c>
      <c r="M98" s="2"/>
      <c r="N98" s="2" t="s">
        <v>52</v>
      </c>
    </row>
    <row r="99" customFormat="false" ht="75" hidden="false" customHeight="true" outlineLevel="0" collapsed="false">
      <c r="A99" s="2" t="n">
        <v>95</v>
      </c>
      <c r="B99" s="2" t="n">
        <v>2018</v>
      </c>
      <c r="C99" s="2" t="s">
        <v>633</v>
      </c>
      <c r="D99" s="2" t="s">
        <v>634</v>
      </c>
      <c r="E99" s="2" t="s">
        <v>635</v>
      </c>
      <c r="F99" s="14" t="s">
        <v>636</v>
      </c>
      <c r="G99" s="2"/>
      <c r="H99" s="2" t="s">
        <v>637</v>
      </c>
      <c r="I99" s="2" t="s">
        <v>638</v>
      </c>
      <c r="J99" s="2" t="s">
        <v>84</v>
      </c>
      <c r="K99" s="2" t="s">
        <v>639</v>
      </c>
      <c r="L99" s="15" t="s">
        <v>84</v>
      </c>
      <c r="M99" s="2"/>
      <c r="N99" s="2" t="s">
        <v>52</v>
      </c>
    </row>
    <row r="100" customFormat="false" ht="75" hidden="false" customHeight="true" outlineLevel="0" collapsed="false">
      <c r="A100" s="2" t="n">
        <v>96</v>
      </c>
      <c r="B100" s="2" t="n">
        <v>2025</v>
      </c>
      <c r="C100" s="2" t="s">
        <v>640</v>
      </c>
      <c r="D100" s="2" t="s">
        <v>641</v>
      </c>
      <c r="E100" s="2" t="s">
        <v>504</v>
      </c>
      <c r="F100" s="14" t="s">
        <v>642</v>
      </c>
      <c r="G100" s="2" t="s">
        <v>643</v>
      </c>
      <c r="H100" s="2" t="s">
        <v>66</v>
      </c>
      <c r="I100" s="2" t="s">
        <v>644</v>
      </c>
      <c r="J100" s="2" t="s">
        <v>84</v>
      </c>
      <c r="K100" s="2" t="s">
        <v>645</v>
      </c>
      <c r="L100" s="15" t="s">
        <v>84</v>
      </c>
      <c r="M100" s="2"/>
      <c r="N100" s="2" t="s">
        <v>52</v>
      </c>
    </row>
    <row r="101" customFormat="false" ht="75" hidden="false" customHeight="true" outlineLevel="0" collapsed="false">
      <c r="A101" s="2" t="n">
        <v>97</v>
      </c>
      <c r="B101" s="2" t="n">
        <v>2025</v>
      </c>
      <c r="C101" s="2" t="s">
        <v>646</v>
      </c>
      <c r="D101" s="2" t="s">
        <v>647</v>
      </c>
      <c r="E101" s="2" t="s">
        <v>96</v>
      </c>
      <c r="F101" s="14" t="s">
        <v>648</v>
      </c>
      <c r="G101" s="2" t="s">
        <v>649</v>
      </c>
      <c r="H101" s="2" t="s">
        <v>588</v>
      </c>
      <c r="I101" s="2" t="s">
        <v>650</v>
      </c>
      <c r="J101" s="2" t="s">
        <v>50</v>
      </c>
      <c r="K101" s="2" t="s">
        <v>651</v>
      </c>
      <c r="L101" s="15" t="s">
        <v>50</v>
      </c>
      <c r="M101" s="2"/>
      <c r="N101" s="2" t="s">
        <v>52</v>
      </c>
    </row>
    <row r="102" customFormat="false" ht="75" hidden="false" customHeight="true" outlineLevel="0" collapsed="false">
      <c r="A102" s="2" t="n">
        <v>98</v>
      </c>
      <c r="B102" s="2" t="n">
        <v>2020</v>
      </c>
      <c r="C102" s="2" t="s">
        <v>652</v>
      </c>
      <c r="D102" s="2" t="s">
        <v>137</v>
      </c>
      <c r="E102" s="2" t="s">
        <v>653</v>
      </c>
      <c r="F102" s="14" t="s">
        <v>654</v>
      </c>
      <c r="G102" s="2" t="s">
        <v>655</v>
      </c>
      <c r="H102" s="2" t="s">
        <v>195</v>
      </c>
      <c r="I102" s="2" t="s">
        <v>656</v>
      </c>
      <c r="J102" s="2" t="s">
        <v>84</v>
      </c>
      <c r="K102" s="2" t="s">
        <v>657</v>
      </c>
      <c r="L102" s="15" t="s">
        <v>84</v>
      </c>
      <c r="M102" s="2"/>
      <c r="N102" s="2" t="s">
        <v>52</v>
      </c>
    </row>
    <row r="103" customFormat="false" ht="75" hidden="false" customHeight="true" outlineLevel="0" collapsed="false">
      <c r="A103" s="2" t="n">
        <v>99</v>
      </c>
      <c r="B103" s="2" t="n">
        <v>2021</v>
      </c>
      <c r="C103" s="2" t="s">
        <v>658</v>
      </c>
      <c r="D103" s="2" t="s">
        <v>130</v>
      </c>
      <c r="E103" s="2" t="s">
        <v>111</v>
      </c>
      <c r="F103" s="14" t="s">
        <v>659</v>
      </c>
      <c r="G103" s="2" t="s">
        <v>660</v>
      </c>
      <c r="H103" s="2" t="s">
        <v>99</v>
      </c>
      <c r="I103" s="2" t="s">
        <v>100</v>
      </c>
      <c r="J103" s="2" t="s">
        <v>50</v>
      </c>
      <c r="K103" s="2" t="s">
        <v>661</v>
      </c>
      <c r="L103" s="15" t="s">
        <v>50</v>
      </c>
      <c r="M103" s="2"/>
      <c r="N103" s="2" t="s">
        <v>52</v>
      </c>
    </row>
    <row r="104" customFormat="false" ht="75" hidden="false" customHeight="true" outlineLevel="0" collapsed="false">
      <c r="A104" s="2" t="n">
        <v>100</v>
      </c>
      <c r="B104" s="2" t="n">
        <v>2009</v>
      </c>
      <c r="C104" s="2" t="s">
        <v>662</v>
      </c>
      <c r="D104" s="2" t="s">
        <v>663</v>
      </c>
      <c r="E104" s="2" t="s">
        <v>664</v>
      </c>
      <c r="F104" s="14" t="s">
        <v>665</v>
      </c>
      <c r="G104" s="2"/>
      <c r="H104" s="2" t="s">
        <v>66</v>
      </c>
      <c r="I104" s="2" t="s">
        <v>666</v>
      </c>
      <c r="J104" s="2" t="s">
        <v>150</v>
      </c>
      <c r="K104" s="2" t="s">
        <v>667</v>
      </c>
      <c r="L104" s="15" t="s">
        <v>150</v>
      </c>
      <c r="M104" s="2"/>
      <c r="N104" s="2" t="s">
        <v>330</v>
      </c>
    </row>
  </sheetData>
  <autoFilter ref="A4:N104"/>
  <dataValidations count="1">
    <dataValidation allowBlank="true" errorStyle="stop" operator="between" showDropDown="false" showErrorMessage="false" showInputMessage="false" sqref="L5:L104" type="list">
      <formula1>"A,B,C"</formula1>
      <formula2>0</formula2>
    </dataValidation>
  </dataValidations>
  <hyperlinks>
    <hyperlink ref="F5" r:id="rId1" display="https://openalex.org/W4390541202"/>
    <hyperlink ref="F6" r:id="rId2" display="https://openalex.org/W4414888839"/>
    <hyperlink ref="F7" r:id="rId3" display="https://openalex.org/W4391037627"/>
    <hyperlink ref="F8" r:id="rId4" display="https://openalex.org/W3104898804"/>
    <hyperlink ref="F9" r:id="rId5" display="https://openalex.org/W4405860565"/>
    <hyperlink ref="F10" r:id="rId6" display="https://openalex.org/W2610778016"/>
    <hyperlink ref="F11" r:id="rId7" display="https://openalex.org/W4413905115"/>
    <hyperlink ref="F12" r:id="rId8" display="https://openalex.org/W2907362082"/>
    <hyperlink ref="F13" r:id="rId9" display="https://openalex.org/W7114927957"/>
    <hyperlink ref="F14" r:id="rId10" display="https://openalex.org/W4291414394"/>
    <hyperlink ref="F15" r:id="rId11" display="https://openalex.org/W4385628948"/>
    <hyperlink ref="F16" r:id="rId12" display="https://openalex.org/W4405198954"/>
    <hyperlink ref="F17" r:id="rId13" display="https://openalex.org/W4403191573"/>
    <hyperlink ref="F18" r:id="rId14" display="https://openalex.org/W7117823812"/>
    <hyperlink ref="F19" r:id="rId15" display="https://openalex.org/W4415138409"/>
    <hyperlink ref="F20" r:id="rId16" display="https://openalex.org/W7117541286"/>
    <hyperlink ref="F21" r:id="rId17" display="https://openalex.org/W4386026715"/>
    <hyperlink ref="F22" r:id="rId18" display="https://openalex.org/W4414937575"/>
    <hyperlink ref="F23" r:id="rId19" display="https://openalex.org/W4415724199"/>
    <hyperlink ref="F24" r:id="rId20" display="https://openalex.org/W4312829318"/>
    <hyperlink ref="F25" r:id="rId21" display="https://openalex.org/W4405832294"/>
    <hyperlink ref="F26" r:id="rId22" display="https://openalex.org/W2980753708"/>
    <hyperlink ref="F27" r:id="rId23" display="https://openalex.org/W4404459725"/>
    <hyperlink ref="F28" r:id="rId24" display="https://openalex.org/W4405071597"/>
    <hyperlink ref="F29" r:id="rId25" display="https://openalex.org/W4390175531"/>
    <hyperlink ref="F30" r:id="rId26" display="https://openalex.org/W4415709846"/>
    <hyperlink ref="F31" r:id="rId27" display="https://openalex.org/W4309740547"/>
    <hyperlink ref="F32" r:id="rId28" display="https://openalex.org/W7125598232"/>
    <hyperlink ref="F33" r:id="rId29" display="https://openalex.org/W3008279115"/>
    <hyperlink ref="F34" r:id="rId30" display="https://openalex.org/W4296312479"/>
    <hyperlink ref="F35" r:id="rId31" display="https://openalex.org/W4383535198"/>
    <hyperlink ref="F36" r:id="rId32" display="https://openalex.org/W4412946616"/>
    <hyperlink ref="F37" r:id="rId33" display="https://openalex.org/W4412848898"/>
    <hyperlink ref="F38" r:id="rId34" display="https://openalex.org/W2905100780"/>
    <hyperlink ref="F39" r:id="rId35" display="https://openalex.org/W4304112899"/>
    <hyperlink ref="F40" r:id="rId36" display="https://openalex.org/W4401354339"/>
    <hyperlink ref="F41" r:id="rId37" display="https://openalex.org/W4404433990"/>
    <hyperlink ref="F42" r:id="rId38" display="https://openalex.org/W4396955019"/>
    <hyperlink ref="F43" r:id="rId39" display="https://openalex.org/W4410999635"/>
    <hyperlink ref="F44" r:id="rId40" display="https://openalex.org/W1968314959"/>
    <hyperlink ref="F45" r:id="rId41" display="https://openalex.org/W4404440748"/>
    <hyperlink ref="F46" r:id="rId42" display="https://openalex.org/W4402196816"/>
    <hyperlink ref="F47" r:id="rId43" display="https://openalex.org/W4360826362"/>
    <hyperlink ref="F48" r:id="rId44" display="https://openalex.org/W2136090914"/>
    <hyperlink ref="F49" r:id="rId45" display="https://openalex.org/W3174275103"/>
    <hyperlink ref="F50" r:id="rId46" display="https://openalex.org/W4396955018"/>
    <hyperlink ref="F51" r:id="rId47" display="https://openalex.org/W3023299871"/>
    <hyperlink ref="F52" r:id="rId48" display="https://openalex.org/W1023572571"/>
    <hyperlink ref="F53" r:id="rId49" display="https://openalex.org/W4285095462"/>
    <hyperlink ref="F54" r:id="rId50" display="https://openalex.org/W3180151162"/>
    <hyperlink ref="F55" r:id="rId51" display="https://openalex.org/W4392586286"/>
    <hyperlink ref="F56" r:id="rId52" display="https://openalex.org/W4281656810"/>
    <hyperlink ref="F57" r:id="rId53" display="https://openalex.org/W4411542673"/>
    <hyperlink ref="F58" r:id="rId54" display="https://openalex.org/W2133808775"/>
    <hyperlink ref="F59" r:id="rId55" display="https://openalex.org/W1165425494"/>
    <hyperlink ref="F60" r:id="rId56" display="https://openalex.org/W4387653126"/>
    <hyperlink ref="F61" r:id="rId57" display="https://openalex.org/W2592285551"/>
    <hyperlink ref="F62" r:id="rId58" display="https://openalex.org/W4224659716"/>
    <hyperlink ref="F63" r:id="rId59" display="https://openalex.org/W4410465179"/>
    <hyperlink ref="F64" r:id="rId60" display="https://openalex.org/W7117623597"/>
    <hyperlink ref="F65" r:id="rId61" display="https://openalex.org/W4365514608"/>
    <hyperlink ref="F66" r:id="rId62" display="https://openalex.org/W2621510117"/>
    <hyperlink ref="F67" r:id="rId63" display="https://openalex.org/W4415743546"/>
    <hyperlink ref="F68" r:id="rId64" display="https://openalex.org/W4400144873"/>
    <hyperlink ref="F69" r:id="rId65" display="https://openalex.org/W4365518480"/>
    <hyperlink ref="F70" r:id="rId66" display="https://openalex.org/W2767496368"/>
    <hyperlink ref="F71" r:id="rId67" display="https://openalex.org/W2017014841"/>
    <hyperlink ref="F72" r:id="rId68" display="https://openalex.org/W3184071970"/>
    <hyperlink ref="F73" r:id="rId69" display="https://openalex.org/W4411929363"/>
    <hyperlink ref="F74" r:id="rId70" display="https://openalex.org/W2045495014"/>
    <hyperlink ref="F75" r:id="rId71" display="https://openalex.org/W3150615185"/>
    <hyperlink ref="F76" r:id="rId72" display="https://openalex.org/W4405264211"/>
    <hyperlink ref="F77" r:id="rId73" display="https://openalex.org/W4409428170"/>
    <hyperlink ref="F78" r:id="rId74" display="https://openalex.org/W4407180634"/>
    <hyperlink ref="F79" r:id="rId75" display="https://openalex.org/W4417537437"/>
    <hyperlink ref="F80" r:id="rId76" display="https://openalex.org/W2884335044"/>
    <hyperlink ref="F81" r:id="rId77" display="https://openalex.org/W4417055510"/>
    <hyperlink ref="F82" r:id="rId78" display="https://openalex.org/W4406132323"/>
    <hyperlink ref="F83" r:id="rId79" display="https://openalex.org/W4292258994"/>
    <hyperlink ref="F84" r:id="rId80" display="https://openalex.org/W4388015873"/>
    <hyperlink ref="F85" r:id="rId81" display="https://openalex.org/W4319990454"/>
    <hyperlink ref="F86" r:id="rId82" display="https://openalex.org/W2768821646"/>
    <hyperlink ref="F87" r:id="rId83" display="https://openalex.org/W4415041591"/>
    <hyperlink ref="F88" r:id="rId84" display="https://openalex.org/W4409384098"/>
    <hyperlink ref="F89" r:id="rId85" display="https://openalex.org/W4399715967"/>
    <hyperlink ref="F90" r:id="rId86" display="https://openalex.org/W4415540653"/>
    <hyperlink ref="F91" r:id="rId87" display="https://openalex.org/W7104373225"/>
    <hyperlink ref="F92" r:id="rId88" display="https://openalex.org/W4389844005"/>
    <hyperlink ref="F93" r:id="rId89" display="https://openalex.org/W4408805840"/>
    <hyperlink ref="F94" r:id="rId90" display="https://openalex.org/W4402597053"/>
    <hyperlink ref="F95" r:id="rId91" display="https://openalex.org/W2278773080"/>
    <hyperlink ref="F96" r:id="rId92" display="https://openalex.org/W2140100489"/>
    <hyperlink ref="F97" r:id="rId93" display="https://openalex.org/W3170301160"/>
    <hyperlink ref="F98" r:id="rId94" display="https://openalex.org/W3129693044"/>
    <hyperlink ref="F99" r:id="rId95" display="https://openalex.org/W2904168886"/>
    <hyperlink ref="F100" r:id="rId96" display="https://openalex.org/W4412922984"/>
    <hyperlink ref="F101" r:id="rId97" display="https://openalex.org/W4415601036"/>
    <hyperlink ref="F102" r:id="rId98" display="https://openalex.org/W3106723231"/>
    <hyperlink ref="F103" r:id="rId99" display="https://openalex.org/W3198108106"/>
    <hyperlink ref="F104" r:id="rId100" display="https://openalex.org/W1505446208"/>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0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7"/>
    <col collapsed="false" customWidth="true" hidden="false" outlineLevel="0" max="3" min="3" style="0" width="40"/>
    <col collapsed="false" customWidth="true" hidden="false" outlineLevel="0" max="5" min="4" style="0" width="22"/>
    <col collapsed="false" customWidth="true" hidden="false" outlineLevel="0" max="6" min="6" style="0" width="26"/>
    <col collapsed="false" customWidth="true" hidden="false" outlineLevel="0" max="7" min="7" style="0" width="20"/>
    <col collapsed="false" customWidth="true" hidden="false" outlineLevel="0" max="8" min="8" style="0" width="14"/>
    <col collapsed="false" customWidth="true" hidden="false" outlineLevel="0" max="9" min="9" style="0" width="70"/>
    <col collapsed="false" customWidth="true" hidden="false" outlineLevel="0" max="10" min="10" style="0" width="9"/>
    <col collapsed="false" customWidth="true" hidden="false" outlineLevel="0" max="11" min="11" style="0" width="34"/>
    <col collapsed="false" customWidth="true" hidden="false" outlineLevel="0" max="12" min="12" style="0" width="11"/>
    <col collapsed="false" customWidth="true" hidden="false" outlineLevel="0" max="13" min="13" style="0" width="26"/>
    <col collapsed="false" customWidth="true" hidden="false" outlineLevel="0" max="14" min="14" style="0" width="12"/>
  </cols>
  <sheetData>
    <row r="1" customFormat="false" ht="15" hidden="false" customHeight="false" outlineLevel="0" collapsed="false">
      <c r="A1" s="3" t="s">
        <v>668</v>
      </c>
    </row>
    <row r="2" customFormat="false" ht="15" hidden="false" customHeight="false" outlineLevel="0" collapsed="false">
      <c r="A2" s="12" t="s">
        <v>28</v>
      </c>
    </row>
    <row r="4" customFormat="false" ht="35.05" hidden="false" customHeight="false" outlineLevel="0" collapsed="false">
      <c r="A4" s="13" t="s">
        <v>29</v>
      </c>
      <c r="B4" s="13" t="s">
        <v>30</v>
      </c>
      <c r="C4" s="13" t="s">
        <v>31</v>
      </c>
      <c r="D4" s="13" t="s">
        <v>32</v>
      </c>
      <c r="E4" s="13" t="s">
        <v>33</v>
      </c>
      <c r="F4" s="13" t="s">
        <v>34</v>
      </c>
      <c r="G4" s="13" t="s">
        <v>35</v>
      </c>
      <c r="H4" s="13" t="s">
        <v>36</v>
      </c>
      <c r="I4" s="13" t="s">
        <v>37</v>
      </c>
      <c r="J4" s="13" t="s">
        <v>38</v>
      </c>
      <c r="K4" s="13" t="s">
        <v>39</v>
      </c>
      <c r="L4" s="13" t="s">
        <v>40</v>
      </c>
      <c r="M4" s="13" t="s">
        <v>41</v>
      </c>
      <c r="N4" s="13" t="s">
        <v>42</v>
      </c>
    </row>
    <row r="5" customFormat="false" ht="75" hidden="false" customHeight="true" outlineLevel="0" collapsed="false">
      <c r="A5" s="2" t="n">
        <v>1</v>
      </c>
      <c r="B5" s="2" t="n">
        <v>2011</v>
      </c>
      <c r="C5" s="2" t="s">
        <v>669</v>
      </c>
      <c r="D5" s="2" t="s">
        <v>670</v>
      </c>
      <c r="E5" s="2" t="s">
        <v>671</v>
      </c>
      <c r="F5" s="14" t="s">
        <v>672</v>
      </c>
      <c r="G5" s="2" t="s">
        <v>673</v>
      </c>
      <c r="H5" s="2" t="s">
        <v>181</v>
      </c>
      <c r="I5" s="2" t="s">
        <v>674</v>
      </c>
      <c r="J5" s="2" t="s">
        <v>150</v>
      </c>
      <c r="K5" s="2" t="s">
        <v>675</v>
      </c>
      <c r="L5" s="15" t="s">
        <v>150</v>
      </c>
      <c r="M5" s="2"/>
      <c r="N5" s="2" t="s">
        <v>52</v>
      </c>
    </row>
    <row r="6" customFormat="false" ht="75" hidden="false" customHeight="true" outlineLevel="0" collapsed="false">
      <c r="A6" s="2" t="n">
        <v>2</v>
      </c>
      <c r="B6" s="2" t="n">
        <v>2013</v>
      </c>
      <c r="C6" s="2" t="s">
        <v>676</v>
      </c>
      <c r="D6" s="2" t="s">
        <v>677</v>
      </c>
      <c r="E6" s="2" t="s">
        <v>678</v>
      </c>
      <c r="F6" s="14" t="s">
        <v>679</v>
      </c>
      <c r="G6" s="2" t="s">
        <v>680</v>
      </c>
      <c r="H6" s="2" t="s">
        <v>148</v>
      </c>
      <c r="I6" s="2" t="s">
        <v>681</v>
      </c>
      <c r="J6" s="2" t="s">
        <v>150</v>
      </c>
      <c r="K6" s="2" t="s">
        <v>682</v>
      </c>
      <c r="L6" s="15" t="s">
        <v>150</v>
      </c>
      <c r="M6" s="2"/>
      <c r="N6" s="2" t="s">
        <v>330</v>
      </c>
    </row>
    <row r="7" customFormat="false" ht="75" hidden="false" customHeight="true" outlineLevel="0" collapsed="false">
      <c r="A7" s="2" t="n">
        <v>3</v>
      </c>
      <c r="B7" s="2" t="n">
        <v>2014</v>
      </c>
      <c r="C7" s="2" t="s">
        <v>683</v>
      </c>
      <c r="D7" s="2" t="s">
        <v>684</v>
      </c>
      <c r="E7" s="2" t="s">
        <v>685</v>
      </c>
      <c r="F7" s="14" t="s">
        <v>686</v>
      </c>
      <c r="G7" s="2" t="s">
        <v>687</v>
      </c>
      <c r="H7" s="2" t="s">
        <v>181</v>
      </c>
      <c r="I7" s="2" t="s">
        <v>688</v>
      </c>
      <c r="J7" s="2" t="s">
        <v>150</v>
      </c>
      <c r="K7" s="2" t="s">
        <v>689</v>
      </c>
      <c r="L7" s="15" t="s">
        <v>150</v>
      </c>
      <c r="M7" s="2"/>
      <c r="N7" s="2" t="s">
        <v>52</v>
      </c>
    </row>
    <row r="8" customFormat="false" ht="75" hidden="false" customHeight="true" outlineLevel="0" collapsed="false">
      <c r="A8" s="2" t="n">
        <v>4</v>
      </c>
      <c r="B8" s="2" t="n">
        <v>2015</v>
      </c>
      <c r="C8" s="2" t="s">
        <v>690</v>
      </c>
      <c r="D8" s="2"/>
      <c r="E8" s="2" t="s">
        <v>111</v>
      </c>
      <c r="F8" s="14" t="s">
        <v>691</v>
      </c>
      <c r="G8" s="2"/>
      <c r="H8" s="2" t="s">
        <v>91</v>
      </c>
      <c r="I8" s="2" t="s">
        <v>100</v>
      </c>
      <c r="J8" s="2" t="s">
        <v>50</v>
      </c>
      <c r="K8" s="2" t="s">
        <v>692</v>
      </c>
      <c r="L8" s="15" t="s">
        <v>50</v>
      </c>
      <c r="M8" s="2"/>
      <c r="N8" s="2" t="s">
        <v>52</v>
      </c>
    </row>
    <row r="9" customFormat="false" ht="75" hidden="false" customHeight="true" outlineLevel="0" collapsed="false">
      <c r="A9" s="2" t="n">
        <v>5</v>
      </c>
      <c r="B9" s="2" t="n">
        <v>2007</v>
      </c>
      <c r="C9" s="2" t="s">
        <v>693</v>
      </c>
      <c r="D9" s="2" t="s">
        <v>694</v>
      </c>
      <c r="E9" s="2" t="s">
        <v>695</v>
      </c>
      <c r="F9" s="14" t="s">
        <v>696</v>
      </c>
      <c r="G9" s="2" t="s">
        <v>697</v>
      </c>
      <c r="H9" s="2" t="s">
        <v>82</v>
      </c>
      <c r="I9" s="2" t="s">
        <v>698</v>
      </c>
      <c r="J9" s="2" t="s">
        <v>84</v>
      </c>
      <c r="K9" s="2" t="s">
        <v>699</v>
      </c>
      <c r="L9" s="15" t="s">
        <v>84</v>
      </c>
      <c r="M9" s="2"/>
      <c r="N9" s="2" t="s">
        <v>52</v>
      </c>
    </row>
    <row r="10" customFormat="false" ht="75" hidden="false" customHeight="true" outlineLevel="0" collapsed="false">
      <c r="A10" s="2" t="n">
        <v>6</v>
      </c>
      <c r="B10" s="2" t="n">
        <v>2011</v>
      </c>
      <c r="C10" s="2" t="s">
        <v>700</v>
      </c>
      <c r="D10" s="2"/>
      <c r="E10" s="2" t="s">
        <v>701</v>
      </c>
      <c r="F10" s="14" t="s">
        <v>702</v>
      </c>
      <c r="G10" s="2"/>
      <c r="H10" s="2" t="s">
        <v>99</v>
      </c>
      <c r="I10" s="2" t="s">
        <v>100</v>
      </c>
      <c r="J10" s="2" t="s">
        <v>50</v>
      </c>
      <c r="K10" s="2" t="s">
        <v>703</v>
      </c>
      <c r="L10" s="15" t="s">
        <v>50</v>
      </c>
      <c r="M10" s="2"/>
      <c r="N10" s="2" t="s">
        <v>52</v>
      </c>
    </row>
    <row r="11" customFormat="false" ht="75" hidden="false" customHeight="true" outlineLevel="0" collapsed="false">
      <c r="A11" s="2" t="n">
        <v>7</v>
      </c>
      <c r="B11" s="2" t="n">
        <v>2005</v>
      </c>
      <c r="C11" s="2" t="s">
        <v>704</v>
      </c>
      <c r="D11" s="2" t="s">
        <v>614</v>
      </c>
      <c r="E11" s="2" t="s">
        <v>705</v>
      </c>
      <c r="F11" s="14" t="s">
        <v>706</v>
      </c>
      <c r="G11" s="2" t="s">
        <v>707</v>
      </c>
      <c r="H11" s="2" t="s">
        <v>148</v>
      </c>
      <c r="I11" s="2" t="s">
        <v>708</v>
      </c>
      <c r="J11" s="2" t="s">
        <v>150</v>
      </c>
      <c r="K11" s="2" t="s">
        <v>619</v>
      </c>
      <c r="L11" s="15" t="s">
        <v>150</v>
      </c>
      <c r="M11" s="2"/>
      <c r="N11" s="2" t="s">
        <v>330</v>
      </c>
    </row>
    <row r="12" customFormat="false" ht="75" hidden="false" customHeight="true" outlineLevel="0" collapsed="false">
      <c r="A12" s="2" t="n">
        <v>8</v>
      </c>
      <c r="B12" s="2" t="n">
        <v>2007</v>
      </c>
      <c r="C12" s="2" t="s">
        <v>709</v>
      </c>
      <c r="D12" s="16" t="s">
        <v>710</v>
      </c>
      <c r="E12" s="2" t="s">
        <v>711</v>
      </c>
      <c r="F12" s="14" t="s">
        <v>712</v>
      </c>
      <c r="G12" s="2"/>
      <c r="H12" s="2" t="s">
        <v>66</v>
      </c>
      <c r="I12" s="2" t="s">
        <v>713</v>
      </c>
      <c r="J12" s="2" t="s">
        <v>150</v>
      </c>
      <c r="K12" s="2" t="s">
        <v>714</v>
      </c>
      <c r="L12" s="15" t="s">
        <v>150</v>
      </c>
      <c r="M12" s="2"/>
      <c r="N12" s="2" t="s">
        <v>330</v>
      </c>
    </row>
    <row r="13" customFormat="false" ht="75" hidden="false" customHeight="true" outlineLevel="0" collapsed="false">
      <c r="A13" s="2" t="n">
        <v>9</v>
      </c>
      <c r="B13" s="2" t="n">
        <v>2015</v>
      </c>
      <c r="C13" s="2" t="s">
        <v>715</v>
      </c>
      <c r="D13" s="2" t="s">
        <v>716</v>
      </c>
      <c r="E13" s="2" t="s">
        <v>717</v>
      </c>
      <c r="F13" s="14" t="s">
        <v>718</v>
      </c>
      <c r="G13" s="2" t="s">
        <v>719</v>
      </c>
      <c r="H13" s="2" t="s">
        <v>181</v>
      </c>
      <c r="I13" s="2" t="s">
        <v>720</v>
      </c>
      <c r="J13" s="2" t="s">
        <v>150</v>
      </c>
      <c r="K13" s="2" t="s">
        <v>721</v>
      </c>
      <c r="L13" s="15" t="s">
        <v>150</v>
      </c>
      <c r="M13" s="2"/>
      <c r="N13" s="2" t="s">
        <v>330</v>
      </c>
    </row>
    <row r="14" customFormat="false" ht="75" hidden="false" customHeight="true" outlineLevel="0" collapsed="false">
      <c r="A14" s="2" t="n">
        <v>10</v>
      </c>
      <c r="B14" s="2" t="n">
        <v>2007</v>
      </c>
      <c r="C14" s="2" t="s">
        <v>722</v>
      </c>
      <c r="D14" s="2" t="s">
        <v>723</v>
      </c>
      <c r="E14" s="2" t="s">
        <v>724</v>
      </c>
      <c r="F14" s="14" t="s">
        <v>725</v>
      </c>
      <c r="G14" s="2" t="s">
        <v>726</v>
      </c>
      <c r="H14" s="2" t="s">
        <v>195</v>
      </c>
      <c r="I14" s="2" t="s">
        <v>727</v>
      </c>
      <c r="J14" s="2" t="s">
        <v>150</v>
      </c>
      <c r="K14" s="2" t="s">
        <v>728</v>
      </c>
      <c r="L14" s="15" t="s">
        <v>150</v>
      </c>
      <c r="M14" s="2"/>
      <c r="N14" s="2" t="s">
        <v>330</v>
      </c>
    </row>
    <row r="15" customFormat="false" ht="75" hidden="false" customHeight="true" outlineLevel="0" collapsed="false">
      <c r="A15" s="2" t="n">
        <v>11</v>
      </c>
      <c r="B15" s="2" t="n">
        <v>2014</v>
      </c>
      <c r="C15" s="2" t="s">
        <v>729</v>
      </c>
      <c r="D15" s="2" t="s">
        <v>730</v>
      </c>
      <c r="E15" s="2" t="s">
        <v>731</v>
      </c>
      <c r="F15" s="14" t="s">
        <v>732</v>
      </c>
      <c r="G15" s="2" t="s">
        <v>733</v>
      </c>
      <c r="H15" s="2" t="s">
        <v>148</v>
      </c>
      <c r="I15" s="2" t="s">
        <v>734</v>
      </c>
      <c r="J15" s="2" t="s">
        <v>150</v>
      </c>
      <c r="K15" s="2" t="s">
        <v>619</v>
      </c>
      <c r="L15" s="15" t="s">
        <v>150</v>
      </c>
      <c r="M15" s="2"/>
      <c r="N15" s="2" t="s">
        <v>330</v>
      </c>
    </row>
    <row r="16" customFormat="false" ht="75" hidden="false" customHeight="true" outlineLevel="0" collapsed="false">
      <c r="A16" s="2" t="n">
        <v>12</v>
      </c>
      <c r="B16" s="2" t="n">
        <v>2010</v>
      </c>
      <c r="C16" s="2" t="s">
        <v>735</v>
      </c>
      <c r="D16" s="2"/>
      <c r="E16" s="2" t="s">
        <v>736</v>
      </c>
      <c r="F16" s="14" t="s">
        <v>737</v>
      </c>
      <c r="G16" s="2"/>
      <c r="H16" s="2" t="s">
        <v>738</v>
      </c>
      <c r="I16" s="2" t="s">
        <v>739</v>
      </c>
      <c r="J16" s="2" t="s">
        <v>84</v>
      </c>
      <c r="K16" s="2" t="s">
        <v>740</v>
      </c>
      <c r="L16" s="15" t="s">
        <v>84</v>
      </c>
      <c r="M16" s="2"/>
      <c r="N16" s="2" t="s">
        <v>52</v>
      </c>
    </row>
    <row r="17" customFormat="false" ht="75" hidden="false" customHeight="true" outlineLevel="0" collapsed="false">
      <c r="A17" s="2" t="n">
        <v>13</v>
      </c>
      <c r="B17" s="2" t="n">
        <v>2013</v>
      </c>
      <c r="C17" s="2" t="s">
        <v>741</v>
      </c>
      <c r="D17" s="2" t="s">
        <v>742</v>
      </c>
      <c r="E17" s="2" t="s">
        <v>269</v>
      </c>
      <c r="F17" s="14" t="s">
        <v>743</v>
      </c>
      <c r="G17" s="2"/>
      <c r="H17" s="2" t="s">
        <v>48</v>
      </c>
      <c r="I17" s="2" t="s">
        <v>744</v>
      </c>
      <c r="J17" s="2" t="s">
        <v>84</v>
      </c>
      <c r="K17" s="2" t="s">
        <v>745</v>
      </c>
      <c r="L17" s="15" t="s">
        <v>84</v>
      </c>
      <c r="M17" s="2"/>
      <c r="N17" s="2" t="s">
        <v>52</v>
      </c>
    </row>
    <row r="18" customFormat="false" ht="75" hidden="false" customHeight="true" outlineLevel="0" collapsed="false">
      <c r="A18" s="2" t="n">
        <v>14</v>
      </c>
      <c r="B18" s="2" t="n">
        <v>2015</v>
      </c>
      <c r="C18" s="2" t="s">
        <v>746</v>
      </c>
      <c r="D18" s="2" t="s">
        <v>747</v>
      </c>
      <c r="E18" s="2" t="s">
        <v>748</v>
      </c>
      <c r="F18" s="14" t="s">
        <v>749</v>
      </c>
      <c r="G18" s="2" t="s">
        <v>750</v>
      </c>
      <c r="H18" s="2" t="s">
        <v>181</v>
      </c>
      <c r="I18" s="2" t="s">
        <v>751</v>
      </c>
      <c r="J18" s="2" t="s">
        <v>150</v>
      </c>
      <c r="K18" s="2" t="s">
        <v>752</v>
      </c>
      <c r="L18" s="15" t="s">
        <v>150</v>
      </c>
      <c r="M18" s="2"/>
      <c r="N18" s="2" t="s">
        <v>52</v>
      </c>
    </row>
    <row r="19" customFormat="false" ht="75" hidden="false" customHeight="true" outlineLevel="0" collapsed="false">
      <c r="A19" s="2" t="n">
        <v>15</v>
      </c>
      <c r="B19" s="2" t="n">
        <v>2007</v>
      </c>
      <c r="C19" s="2" t="s">
        <v>753</v>
      </c>
      <c r="D19" s="2" t="s">
        <v>754</v>
      </c>
      <c r="E19" s="2" t="s">
        <v>755</v>
      </c>
      <c r="F19" s="14" t="s">
        <v>756</v>
      </c>
      <c r="G19" s="2" t="s">
        <v>757</v>
      </c>
      <c r="H19" s="2" t="s">
        <v>148</v>
      </c>
      <c r="I19" s="2" t="s">
        <v>758</v>
      </c>
      <c r="J19" s="2" t="s">
        <v>150</v>
      </c>
      <c r="K19" s="2" t="s">
        <v>619</v>
      </c>
      <c r="L19" s="15" t="s">
        <v>150</v>
      </c>
      <c r="M19" s="2"/>
      <c r="N19" s="2" t="s">
        <v>330</v>
      </c>
    </row>
    <row r="20" customFormat="false" ht="75" hidden="false" customHeight="true" outlineLevel="0" collapsed="false">
      <c r="A20" s="2" t="n">
        <v>16</v>
      </c>
      <c r="B20" s="2" t="n">
        <v>2014</v>
      </c>
      <c r="C20" s="2" t="s">
        <v>759</v>
      </c>
      <c r="D20" s="2" t="s">
        <v>760</v>
      </c>
      <c r="E20" s="2" t="s">
        <v>761</v>
      </c>
      <c r="F20" s="14" t="s">
        <v>762</v>
      </c>
      <c r="G20" s="2" t="s">
        <v>763</v>
      </c>
      <c r="H20" s="2" t="s">
        <v>166</v>
      </c>
      <c r="I20" s="2" t="s">
        <v>100</v>
      </c>
      <c r="J20" s="2" t="s">
        <v>84</v>
      </c>
      <c r="K20" s="2" t="s">
        <v>764</v>
      </c>
      <c r="L20" s="15" t="s">
        <v>84</v>
      </c>
      <c r="M20" s="2"/>
      <c r="N20" s="2" t="s">
        <v>52</v>
      </c>
    </row>
    <row r="21" customFormat="false" ht="75" hidden="false" customHeight="true" outlineLevel="0" collapsed="false">
      <c r="A21" s="2" t="n">
        <v>17</v>
      </c>
      <c r="B21" s="2" t="n">
        <v>2013</v>
      </c>
      <c r="C21" s="2" t="s">
        <v>765</v>
      </c>
      <c r="D21" s="2" t="s">
        <v>766</v>
      </c>
      <c r="E21" s="2" t="s">
        <v>767</v>
      </c>
      <c r="F21" s="14" t="s">
        <v>768</v>
      </c>
      <c r="G21" s="2" t="s">
        <v>769</v>
      </c>
      <c r="H21" s="2" t="s">
        <v>202</v>
      </c>
      <c r="I21" s="2" t="s">
        <v>770</v>
      </c>
      <c r="J21" s="2" t="s">
        <v>84</v>
      </c>
      <c r="K21" s="2" t="s">
        <v>771</v>
      </c>
      <c r="L21" s="15" t="s">
        <v>84</v>
      </c>
      <c r="M21" s="2"/>
      <c r="N21" s="2" t="s">
        <v>52</v>
      </c>
    </row>
    <row r="22" customFormat="false" ht="75" hidden="false" customHeight="true" outlineLevel="0" collapsed="false">
      <c r="A22" s="2" t="n">
        <v>18</v>
      </c>
      <c r="B22" s="2" t="n">
        <v>2008</v>
      </c>
      <c r="C22" s="2" t="s">
        <v>772</v>
      </c>
      <c r="D22" s="2" t="s">
        <v>773</v>
      </c>
      <c r="E22" s="2" t="s">
        <v>774</v>
      </c>
      <c r="F22" s="14" t="s">
        <v>775</v>
      </c>
      <c r="G22" s="2" t="s">
        <v>776</v>
      </c>
      <c r="H22" s="2" t="s">
        <v>181</v>
      </c>
      <c r="I22" s="2" t="s">
        <v>100</v>
      </c>
      <c r="J22" s="2" t="s">
        <v>150</v>
      </c>
      <c r="K22" s="2" t="s">
        <v>777</v>
      </c>
      <c r="L22" s="15" t="s">
        <v>150</v>
      </c>
      <c r="M22" s="2"/>
      <c r="N22" s="2" t="s">
        <v>52</v>
      </c>
    </row>
    <row r="23" customFormat="false" ht="75" hidden="false" customHeight="true" outlineLevel="0" collapsed="false">
      <c r="A23" s="2" t="n">
        <v>19</v>
      </c>
      <c r="B23" s="2" t="n">
        <v>2013</v>
      </c>
      <c r="C23" s="2" t="s">
        <v>778</v>
      </c>
      <c r="D23" s="2"/>
      <c r="E23" s="2" t="s">
        <v>178</v>
      </c>
      <c r="F23" s="14" t="s">
        <v>779</v>
      </c>
      <c r="G23" s="2"/>
      <c r="H23" s="2" t="s">
        <v>242</v>
      </c>
      <c r="I23" s="2" t="s">
        <v>780</v>
      </c>
      <c r="J23" s="2" t="s">
        <v>50</v>
      </c>
      <c r="K23" s="2" t="s">
        <v>781</v>
      </c>
      <c r="L23" s="15" t="s">
        <v>50</v>
      </c>
      <c r="M23" s="2"/>
      <c r="N23" s="2" t="s">
        <v>52</v>
      </c>
    </row>
    <row r="24" customFormat="false" ht="75" hidden="false" customHeight="true" outlineLevel="0" collapsed="false">
      <c r="A24" s="2" t="n">
        <v>20</v>
      </c>
      <c r="B24" s="2" t="n">
        <v>2014</v>
      </c>
      <c r="C24" s="2" t="s">
        <v>782</v>
      </c>
      <c r="D24" s="2" t="s">
        <v>783</v>
      </c>
      <c r="E24" s="2" t="s">
        <v>784</v>
      </c>
      <c r="F24" s="14" t="s">
        <v>785</v>
      </c>
      <c r="G24" s="2" t="s">
        <v>786</v>
      </c>
      <c r="H24" s="2" t="s">
        <v>91</v>
      </c>
      <c r="I24" s="2" t="s">
        <v>787</v>
      </c>
      <c r="J24" s="2" t="s">
        <v>84</v>
      </c>
      <c r="K24" s="2" t="s">
        <v>788</v>
      </c>
      <c r="L24" s="15" t="s">
        <v>84</v>
      </c>
      <c r="M24" s="2"/>
      <c r="N24" s="2" t="s">
        <v>52</v>
      </c>
    </row>
    <row r="25" customFormat="false" ht="75" hidden="false" customHeight="true" outlineLevel="0" collapsed="false">
      <c r="A25" s="2" t="n">
        <v>21</v>
      </c>
      <c r="B25" s="2" t="n">
        <v>2015</v>
      </c>
      <c r="C25" s="2" t="s">
        <v>789</v>
      </c>
      <c r="D25" s="2" t="s">
        <v>790</v>
      </c>
      <c r="E25" s="2" t="s">
        <v>791</v>
      </c>
      <c r="F25" s="14" t="s">
        <v>792</v>
      </c>
      <c r="G25" s="2"/>
      <c r="H25" s="2" t="s">
        <v>242</v>
      </c>
      <c r="I25" s="2" t="s">
        <v>793</v>
      </c>
      <c r="J25" s="2" t="s">
        <v>50</v>
      </c>
      <c r="K25" s="2" t="s">
        <v>794</v>
      </c>
      <c r="L25" s="15" t="s">
        <v>50</v>
      </c>
      <c r="M25" s="2"/>
      <c r="N25" s="2" t="s">
        <v>52</v>
      </c>
    </row>
    <row r="26" customFormat="false" ht="75" hidden="false" customHeight="true" outlineLevel="0" collapsed="false">
      <c r="A26" s="2" t="n">
        <v>22</v>
      </c>
      <c r="B26" s="2" t="n">
        <v>2013</v>
      </c>
      <c r="C26" s="2" t="s">
        <v>795</v>
      </c>
      <c r="D26" s="2" t="s">
        <v>796</v>
      </c>
      <c r="E26" s="2" t="s">
        <v>797</v>
      </c>
      <c r="F26" s="14" t="s">
        <v>798</v>
      </c>
      <c r="G26" s="2" t="s">
        <v>799</v>
      </c>
      <c r="H26" s="2" t="s">
        <v>195</v>
      </c>
      <c r="I26" s="2" t="s">
        <v>800</v>
      </c>
      <c r="J26" s="2" t="s">
        <v>150</v>
      </c>
      <c r="K26" s="2" t="s">
        <v>801</v>
      </c>
      <c r="L26" s="15" t="s">
        <v>150</v>
      </c>
      <c r="M26" s="2"/>
      <c r="N26" s="2" t="s">
        <v>330</v>
      </c>
    </row>
    <row r="27" customFormat="false" ht="75" hidden="false" customHeight="true" outlineLevel="0" collapsed="false">
      <c r="A27" s="2" t="n">
        <v>23</v>
      </c>
      <c r="B27" s="2" t="n">
        <v>2015</v>
      </c>
      <c r="C27" s="2" t="s">
        <v>802</v>
      </c>
      <c r="D27" s="2" t="s">
        <v>803</v>
      </c>
      <c r="E27" s="2" t="s">
        <v>804</v>
      </c>
      <c r="F27" s="14" t="s">
        <v>805</v>
      </c>
      <c r="G27" s="2" t="s">
        <v>806</v>
      </c>
      <c r="H27" s="2" t="s">
        <v>48</v>
      </c>
      <c r="I27" s="2" t="s">
        <v>807</v>
      </c>
      <c r="J27" s="2" t="s">
        <v>50</v>
      </c>
      <c r="K27" s="2" t="s">
        <v>808</v>
      </c>
      <c r="L27" s="15" t="s">
        <v>50</v>
      </c>
      <c r="M27" s="2"/>
      <c r="N27" s="2" t="s">
        <v>52</v>
      </c>
    </row>
    <row r="28" customFormat="false" ht="75" hidden="false" customHeight="true" outlineLevel="0" collapsed="false">
      <c r="A28" s="2" t="n">
        <v>24</v>
      </c>
      <c r="B28" s="2" t="n">
        <v>2009</v>
      </c>
      <c r="C28" s="2" t="s">
        <v>809</v>
      </c>
      <c r="D28" s="2" t="s">
        <v>810</v>
      </c>
      <c r="E28" s="2" t="s">
        <v>811</v>
      </c>
      <c r="F28" s="14" t="s">
        <v>812</v>
      </c>
      <c r="G28" s="2" t="s">
        <v>813</v>
      </c>
      <c r="H28" s="2" t="s">
        <v>148</v>
      </c>
      <c r="I28" s="2" t="s">
        <v>814</v>
      </c>
      <c r="J28" s="2" t="s">
        <v>150</v>
      </c>
      <c r="K28" s="2" t="s">
        <v>619</v>
      </c>
      <c r="L28" s="15" t="s">
        <v>150</v>
      </c>
      <c r="M28" s="2"/>
      <c r="N28" s="2" t="s">
        <v>330</v>
      </c>
    </row>
    <row r="29" customFormat="false" ht="75" hidden="false" customHeight="true" outlineLevel="0" collapsed="false">
      <c r="A29" s="2" t="n">
        <v>25</v>
      </c>
      <c r="B29" s="2" t="n">
        <v>2013</v>
      </c>
      <c r="C29" s="2" t="s">
        <v>815</v>
      </c>
      <c r="D29" s="2" t="s">
        <v>816</v>
      </c>
      <c r="E29" s="2" t="s">
        <v>791</v>
      </c>
      <c r="F29" s="14" t="s">
        <v>817</v>
      </c>
      <c r="G29" s="2" t="s">
        <v>818</v>
      </c>
      <c r="H29" s="2" t="s">
        <v>819</v>
      </c>
      <c r="I29" s="2" t="s">
        <v>820</v>
      </c>
      <c r="J29" s="2" t="s">
        <v>50</v>
      </c>
      <c r="K29" s="2" t="s">
        <v>821</v>
      </c>
      <c r="L29" s="15" t="s">
        <v>50</v>
      </c>
      <c r="M29" s="2"/>
      <c r="N29" s="2" t="s">
        <v>52</v>
      </c>
    </row>
    <row r="30" customFormat="false" ht="75" hidden="false" customHeight="true" outlineLevel="0" collapsed="false">
      <c r="A30" s="2" t="n">
        <v>26</v>
      </c>
      <c r="B30" s="2" t="n">
        <v>2012</v>
      </c>
      <c r="C30" s="2" t="s">
        <v>822</v>
      </c>
      <c r="D30" s="2" t="s">
        <v>823</v>
      </c>
      <c r="E30" s="2" t="s">
        <v>824</v>
      </c>
      <c r="F30" s="14" t="s">
        <v>825</v>
      </c>
      <c r="G30" s="2" t="s">
        <v>826</v>
      </c>
      <c r="H30" s="2" t="s">
        <v>181</v>
      </c>
      <c r="I30" s="2" t="s">
        <v>100</v>
      </c>
      <c r="J30" s="2" t="s">
        <v>150</v>
      </c>
      <c r="K30" s="2" t="s">
        <v>827</v>
      </c>
      <c r="L30" s="15" t="s">
        <v>150</v>
      </c>
      <c r="M30" s="2"/>
      <c r="N30" s="2" t="s">
        <v>330</v>
      </c>
    </row>
    <row r="31" customFormat="false" ht="75" hidden="false" customHeight="true" outlineLevel="0" collapsed="false">
      <c r="A31" s="2" t="n">
        <v>27</v>
      </c>
      <c r="B31" s="2" t="n">
        <v>2014</v>
      </c>
      <c r="C31" s="2" t="s">
        <v>828</v>
      </c>
      <c r="D31" s="2" t="s">
        <v>829</v>
      </c>
      <c r="E31" s="2" t="s">
        <v>830</v>
      </c>
      <c r="F31" s="14" t="s">
        <v>831</v>
      </c>
      <c r="G31" s="2" t="s">
        <v>832</v>
      </c>
      <c r="H31" s="2" t="s">
        <v>588</v>
      </c>
      <c r="I31" s="2" t="s">
        <v>833</v>
      </c>
      <c r="J31" s="2" t="s">
        <v>84</v>
      </c>
      <c r="K31" s="2" t="s">
        <v>834</v>
      </c>
      <c r="L31" s="15" t="s">
        <v>84</v>
      </c>
      <c r="M31" s="2"/>
      <c r="N31" s="2" t="s">
        <v>52</v>
      </c>
    </row>
    <row r="32" customFormat="false" ht="75" hidden="false" customHeight="true" outlineLevel="0" collapsed="false">
      <c r="A32" s="2" t="n">
        <v>28</v>
      </c>
      <c r="B32" s="2" t="n">
        <v>2013</v>
      </c>
      <c r="C32" s="2" t="s">
        <v>835</v>
      </c>
      <c r="D32" s="2" t="s">
        <v>199</v>
      </c>
      <c r="E32" s="2" t="s">
        <v>711</v>
      </c>
      <c r="F32" s="14" t="s">
        <v>836</v>
      </c>
      <c r="G32" s="2" t="s">
        <v>837</v>
      </c>
      <c r="H32" s="2" t="s">
        <v>66</v>
      </c>
      <c r="I32" s="2" t="s">
        <v>838</v>
      </c>
      <c r="J32" s="2" t="s">
        <v>150</v>
      </c>
      <c r="K32" s="2" t="s">
        <v>839</v>
      </c>
      <c r="L32" s="15" t="s">
        <v>150</v>
      </c>
      <c r="M32" s="2"/>
      <c r="N32" s="2" t="s">
        <v>330</v>
      </c>
    </row>
    <row r="33" customFormat="false" ht="75" hidden="false" customHeight="true" outlineLevel="0" collapsed="false">
      <c r="A33" s="2" t="n">
        <v>29</v>
      </c>
      <c r="B33" s="2" t="n">
        <v>2015</v>
      </c>
      <c r="C33" s="2" t="s">
        <v>840</v>
      </c>
      <c r="D33" s="2" t="s">
        <v>841</v>
      </c>
      <c r="E33" s="2" t="s">
        <v>842</v>
      </c>
      <c r="F33" s="14" t="s">
        <v>843</v>
      </c>
      <c r="G33" s="2" t="s">
        <v>844</v>
      </c>
      <c r="H33" s="2" t="s">
        <v>181</v>
      </c>
      <c r="I33" s="2" t="s">
        <v>100</v>
      </c>
      <c r="J33" s="2" t="s">
        <v>150</v>
      </c>
      <c r="K33" s="2" t="s">
        <v>845</v>
      </c>
      <c r="L33" s="15" t="s">
        <v>150</v>
      </c>
      <c r="M33" s="2"/>
      <c r="N33" s="2" t="s">
        <v>52</v>
      </c>
    </row>
    <row r="34" customFormat="false" ht="75" hidden="false" customHeight="true" outlineLevel="0" collapsed="false">
      <c r="A34" s="2" t="n">
        <v>30</v>
      </c>
      <c r="B34" s="2" t="n">
        <v>2014</v>
      </c>
      <c r="C34" s="2" t="s">
        <v>846</v>
      </c>
      <c r="D34" s="2" t="s">
        <v>847</v>
      </c>
      <c r="E34" s="2" t="s">
        <v>221</v>
      </c>
      <c r="F34" s="14" t="s">
        <v>848</v>
      </c>
      <c r="G34" s="2" t="s">
        <v>849</v>
      </c>
      <c r="H34" s="2" t="s">
        <v>166</v>
      </c>
      <c r="I34" s="2" t="s">
        <v>100</v>
      </c>
      <c r="J34" s="2" t="s">
        <v>50</v>
      </c>
      <c r="K34" s="2" t="s">
        <v>850</v>
      </c>
      <c r="L34" s="15" t="s">
        <v>50</v>
      </c>
      <c r="M34" s="2"/>
      <c r="N34" s="2" t="s">
        <v>52</v>
      </c>
    </row>
    <row r="35" customFormat="false" ht="75" hidden="false" customHeight="true" outlineLevel="0" collapsed="false">
      <c r="A35" s="2" t="n">
        <v>31</v>
      </c>
      <c r="B35" s="2" t="n">
        <v>2012</v>
      </c>
      <c r="C35" s="2" t="s">
        <v>851</v>
      </c>
      <c r="D35" s="2" t="s">
        <v>852</v>
      </c>
      <c r="E35" s="2" t="s">
        <v>853</v>
      </c>
      <c r="F35" s="14" t="s">
        <v>854</v>
      </c>
      <c r="G35" s="2"/>
      <c r="H35" s="2" t="s">
        <v>195</v>
      </c>
      <c r="I35" s="2" t="s">
        <v>855</v>
      </c>
      <c r="J35" s="2" t="s">
        <v>150</v>
      </c>
      <c r="K35" s="2" t="s">
        <v>856</v>
      </c>
      <c r="L35" s="15" t="s">
        <v>150</v>
      </c>
      <c r="M35" s="2"/>
      <c r="N35" s="2" t="s">
        <v>52</v>
      </c>
    </row>
    <row r="36" customFormat="false" ht="75" hidden="false" customHeight="true" outlineLevel="0" collapsed="false">
      <c r="A36" s="2" t="n">
        <v>32</v>
      </c>
      <c r="B36" s="2" t="n">
        <v>2008</v>
      </c>
      <c r="C36" s="2" t="s">
        <v>857</v>
      </c>
      <c r="D36" s="2" t="s">
        <v>858</v>
      </c>
      <c r="E36" s="2" t="s">
        <v>859</v>
      </c>
      <c r="F36" s="14" t="s">
        <v>860</v>
      </c>
      <c r="G36" s="2"/>
      <c r="H36" s="2" t="s">
        <v>148</v>
      </c>
      <c r="I36" s="2" t="s">
        <v>861</v>
      </c>
      <c r="J36" s="2" t="s">
        <v>150</v>
      </c>
      <c r="K36" s="2" t="s">
        <v>862</v>
      </c>
      <c r="L36" s="15" t="s">
        <v>150</v>
      </c>
      <c r="M36" s="2"/>
      <c r="N36" s="2" t="s">
        <v>52</v>
      </c>
    </row>
    <row r="37" customFormat="false" ht="75" hidden="false" customHeight="true" outlineLevel="0" collapsed="false">
      <c r="A37" s="2" t="n">
        <v>33</v>
      </c>
      <c r="B37" s="2" t="n">
        <v>2011</v>
      </c>
      <c r="C37" s="2" t="s">
        <v>863</v>
      </c>
      <c r="D37" s="2" t="s">
        <v>864</v>
      </c>
      <c r="E37" s="2" t="s">
        <v>865</v>
      </c>
      <c r="F37" s="14" t="s">
        <v>866</v>
      </c>
      <c r="G37" s="2" t="s">
        <v>867</v>
      </c>
      <c r="H37" s="2" t="s">
        <v>868</v>
      </c>
      <c r="I37" s="2" t="s">
        <v>869</v>
      </c>
      <c r="J37" s="2" t="s">
        <v>150</v>
      </c>
      <c r="K37" s="2" t="s">
        <v>870</v>
      </c>
      <c r="L37" s="15" t="s">
        <v>150</v>
      </c>
      <c r="M37" s="2"/>
      <c r="N37" s="2" t="s">
        <v>52</v>
      </c>
    </row>
    <row r="38" customFormat="false" ht="75" hidden="false" customHeight="true" outlineLevel="0" collapsed="false">
      <c r="A38" s="2" t="n">
        <v>34</v>
      </c>
      <c r="B38" s="2" t="n">
        <v>2015</v>
      </c>
      <c r="C38" s="2" t="s">
        <v>871</v>
      </c>
      <c r="D38" s="2" t="s">
        <v>872</v>
      </c>
      <c r="E38" s="2" t="s">
        <v>873</v>
      </c>
      <c r="F38" s="14" t="s">
        <v>874</v>
      </c>
      <c r="G38" s="2" t="s">
        <v>875</v>
      </c>
      <c r="H38" s="2" t="s">
        <v>181</v>
      </c>
      <c r="I38" s="2" t="s">
        <v>876</v>
      </c>
      <c r="J38" s="2" t="s">
        <v>150</v>
      </c>
      <c r="K38" s="2" t="s">
        <v>877</v>
      </c>
      <c r="L38" s="15" t="s">
        <v>150</v>
      </c>
      <c r="M38" s="2"/>
      <c r="N38" s="2" t="s">
        <v>330</v>
      </c>
    </row>
    <row r="39" customFormat="false" ht="75" hidden="false" customHeight="true" outlineLevel="0" collapsed="false">
      <c r="A39" s="2" t="n">
        <v>35</v>
      </c>
      <c r="B39" s="2" t="n">
        <v>2010</v>
      </c>
      <c r="C39" s="2" t="s">
        <v>878</v>
      </c>
      <c r="D39" s="2" t="s">
        <v>879</v>
      </c>
      <c r="E39" s="2" t="s">
        <v>880</v>
      </c>
      <c r="F39" s="14" t="s">
        <v>881</v>
      </c>
      <c r="G39" s="2" t="s">
        <v>882</v>
      </c>
      <c r="H39" s="2" t="s">
        <v>166</v>
      </c>
      <c r="I39" s="2" t="s">
        <v>100</v>
      </c>
      <c r="J39" s="2" t="s">
        <v>50</v>
      </c>
      <c r="K39" s="2" t="s">
        <v>883</v>
      </c>
      <c r="L39" s="15" t="s">
        <v>50</v>
      </c>
      <c r="M39" s="2"/>
      <c r="N39" s="2" t="s">
        <v>52</v>
      </c>
    </row>
    <row r="40" customFormat="false" ht="75" hidden="false" customHeight="true" outlineLevel="0" collapsed="false">
      <c r="A40" s="2" t="n">
        <v>36</v>
      </c>
      <c r="B40" s="2" t="n">
        <v>2013</v>
      </c>
      <c r="C40" s="2" t="s">
        <v>884</v>
      </c>
      <c r="D40" s="2" t="s">
        <v>885</v>
      </c>
      <c r="E40" s="2" t="s">
        <v>886</v>
      </c>
      <c r="F40" s="14" t="s">
        <v>887</v>
      </c>
      <c r="G40" s="2" t="s">
        <v>888</v>
      </c>
      <c r="H40" s="2" t="s">
        <v>166</v>
      </c>
      <c r="I40" s="2" t="s">
        <v>100</v>
      </c>
      <c r="J40" s="2" t="s">
        <v>84</v>
      </c>
      <c r="K40" s="2" t="s">
        <v>889</v>
      </c>
      <c r="L40" s="15" t="s">
        <v>84</v>
      </c>
      <c r="M40" s="2"/>
      <c r="N40" s="2" t="s">
        <v>52</v>
      </c>
    </row>
    <row r="41" customFormat="false" ht="75" hidden="false" customHeight="true" outlineLevel="0" collapsed="false">
      <c r="A41" s="2" t="n">
        <v>37</v>
      </c>
      <c r="B41" s="2" t="n">
        <v>2012</v>
      </c>
      <c r="C41" s="2" t="s">
        <v>890</v>
      </c>
      <c r="D41" s="2" t="s">
        <v>891</v>
      </c>
      <c r="E41" s="2" t="s">
        <v>892</v>
      </c>
      <c r="F41" s="14" t="s">
        <v>893</v>
      </c>
      <c r="G41" s="2" t="s">
        <v>894</v>
      </c>
      <c r="H41" s="2" t="s">
        <v>181</v>
      </c>
      <c r="I41" s="2" t="s">
        <v>100</v>
      </c>
      <c r="J41" s="2" t="s">
        <v>150</v>
      </c>
      <c r="K41" s="2" t="s">
        <v>877</v>
      </c>
      <c r="L41" s="15" t="s">
        <v>150</v>
      </c>
      <c r="M41" s="2"/>
      <c r="N41" s="2" t="s">
        <v>52</v>
      </c>
    </row>
    <row r="42" customFormat="false" ht="75" hidden="false" customHeight="true" outlineLevel="0" collapsed="false">
      <c r="A42" s="2" t="n">
        <v>38</v>
      </c>
      <c r="B42" s="2" t="n">
        <v>2015</v>
      </c>
      <c r="C42" s="2" t="s">
        <v>895</v>
      </c>
      <c r="D42" s="2" t="s">
        <v>896</v>
      </c>
      <c r="E42" s="2" t="s">
        <v>111</v>
      </c>
      <c r="F42" s="14" t="s">
        <v>897</v>
      </c>
      <c r="G42" s="2" t="s">
        <v>898</v>
      </c>
      <c r="H42" s="2" t="s">
        <v>899</v>
      </c>
      <c r="I42" s="2" t="s">
        <v>900</v>
      </c>
      <c r="J42" s="2" t="s">
        <v>50</v>
      </c>
      <c r="K42" s="2" t="s">
        <v>901</v>
      </c>
      <c r="L42" s="15" t="s">
        <v>50</v>
      </c>
      <c r="M42" s="2"/>
      <c r="N42" s="2" t="s">
        <v>52</v>
      </c>
    </row>
    <row r="43" customFormat="false" ht="75" hidden="false" customHeight="true" outlineLevel="0" collapsed="false">
      <c r="A43" s="2" t="n">
        <v>39</v>
      </c>
      <c r="B43" s="2" t="n">
        <v>2014</v>
      </c>
      <c r="C43" s="2" t="s">
        <v>902</v>
      </c>
      <c r="D43" s="2" t="s">
        <v>903</v>
      </c>
      <c r="E43" s="2" t="s">
        <v>904</v>
      </c>
      <c r="F43" s="14" t="s">
        <v>905</v>
      </c>
      <c r="G43" s="2"/>
      <c r="H43" s="2" t="s">
        <v>99</v>
      </c>
      <c r="I43" s="2" t="s">
        <v>100</v>
      </c>
      <c r="J43" s="2" t="s">
        <v>50</v>
      </c>
      <c r="K43" s="2" t="s">
        <v>906</v>
      </c>
      <c r="L43" s="15" t="s">
        <v>50</v>
      </c>
      <c r="M43" s="2"/>
      <c r="N43" s="2" t="s">
        <v>52</v>
      </c>
    </row>
    <row r="44" customFormat="false" ht="75" hidden="false" customHeight="true" outlineLevel="0" collapsed="false">
      <c r="A44" s="2" t="n">
        <v>40</v>
      </c>
      <c r="B44" s="2" t="n">
        <v>2009</v>
      </c>
      <c r="C44" s="2" t="s">
        <v>907</v>
      </c>
      <c r="D44" s="2" t="s">
        <v>614</v>
      </c>
      <c r="E44" s="2" t="s">
        <v>908</v>
      </c>
      <c r="F44" s="14" t="s">
        <v>909</v>
      </c>
      <c r="G44" s="2" t="s">
        <v>910</v>
      </c>
      <c r="H44" s="2" t="s">
        <v>148</v>
      </c>
      <c r="I44" s="2" t="s">
        <v>911</v>
      </c>
      <c r="J44" s="2" t="s">
        <v>150</v>
      </c>
      <c r="K44" s="2" t="s">
        <v>619</v>
      </c>
      <c r="L44" s="15" t="s">
        <v>150</v>
      </c>
      <c r="M44" s="2"/>
      <c r="N44" s="2" t="s">
        <v>330</v>
      </c>
    </row>
    <row r="45" customFormat="false" ht="75" hidden="false" customHeight="true" outlineLevel="0" collapsed="false">
      <c r="A45" s="2" t="n">
        <v>41</v>
      </c>
      <c r="B45" s="2" t="n">
        <v>2005</v>
      </c>
      <c r="C45" s="2" t="s">
        <v>912</v>
      </c>
      <c r="D45" s="2" t="s">
        <v>614</v>
      </c>
      <c r="E45" s="2" t="s">
        <v>913</v>
      </c>
      <c r="F45" s="14" t="s">
        <v>914</v>
      </c>
      <c r="G45" s="2" t="s">
        <v>915</v>
      </c>
      <c r="H45" s="2" t="s">
        <v>148</v>
      </c>
      <c r="I45" s="2" t="s">
        <v>916</v>
      </c>
      <c r="J45" s="2" t="s">
        <v>150</v>
      </c>
      <c r="K45" s="2" t="s">
        <v>619</v>
      </c>
      <c r="L45" s="15" t="s">
        <v>150</v>
      </c>
      <c r="M45" s="2"/>
      <c r="N45" s="2" t="s">
        <v>330</v>
      </c>
    </row>
    <row r="46" customFormat="false" ht="75" hidden="false" customHeight="true" outlineLevel="0" collapsed="false">
      <c r="A46" s="2" t="n">
        <v>42</v>
      </c>
      <c r="B46" s="2" t="n">
        <v>2015</v>
      </c>
      <c r="C46" s="2" t="s">
        <v>917</v>
      </c>
      <c r="D46" s="16" t="s">
        <v>918</v>
      </c>
      <c r="E46" s="2" t="s">
        <v>919</v>
      </c>
      <c r="F46" s="14" t="s">
        <v>920</v>
      </c>
      <c r="G46" s="2"/>
      <c r="H46" s="2" t="s">
        <v>99</v>
      </c>
      <c r="I46" s="2" t="s">
        <v>921</v>
      </c>
      <c r="J46" s="2" t="s">
        <v>84</v>
      </c>
      <c r="K46" s="2" t="s">
        <v>922</v>
      </c>
      <c r="L46" s="15" t="s">
        <v>84</v>
      </c>
      <c r="M46" s="2"/>
      <c r="N46" s="2" t="s">
        <v>52</v>
      </c>
    </row>
    <row r="47" customFormat="false" ht="75" hidden="false" customHeight="true" outlineLevel="0" collapsed="false">
      <c r="A47" s="2" t="n">
        <v>43</v>
      </c>
      <c r="B47" s="2" t="n">
        <v>2006</v>
      </c>
      <c r="C47" s="2" t="s">
        <v>923</v>
      </c>
      <c r="D47" s="2" t="s">
        <v>924</v>
      </c>
      <c r="E47" s="2" t="s">
        <v>925</v>
      </c>
      <c r="F47" s="14" t="s">
        <v>926</v>
      </c>
      <c r="G47" s="2"/>
      <c r="H47" s="2" t="s">
        <v>148</v>
      </c>
      <c r="I47" s="2" t="s">
        <v>927</v>
      </c>
      <c r="J47" s="2" t="s">
        <v>150</v>
      </c>
      <c r="K47" s="2" t="s">
        <v>619</v>
      </c>
      <c r="L47" s="15" t="s">
        <v>150</v>
      </c>
      <c r="M47" s="2"/>
      <c r="N47" s="2" t="s">
        <v>330</v>
      </c>
    </row>
    <row r="48" customFormat="false" ht="75" hidden="false" customHeight="true" outlineLevel="0" collapsed="false">
      <c r="A48" s="2" t="n">
        <v>44</v>
      </c>
      <c r="B48" s="2" t="n">
        <v>2015</v>
      </c>
      <c r="C48" s="2" t="s">
        <v>928</v>
      </c>
      <c r="D48" s="2"/>
      <c r="E48" s="2" t="s">
        <v>929</v>
      </c>
      <c r="F48" s="14" t="s">
        <v>930</v>
      </c>
      <c r="G48" s="2"/>
      <c r="H48" s="2" t="s">
        <v>148</v>
      </c>
      <c r="I48" s="2" t="s">
        <v>931</v>
      </c>
      <c r="J48" s="2" t="s">
        <v>150</v>
      </c>
      <c r="K48" s="2" t="s">
        <v>932</v>
      </c>
      <c r="L48" s="15" t="s">
        <v>150</v>
      </c>
      <c r="M48" s="2"/>
      <c r="N48" s="2" t="s">
        <v>52</v>
      </c>
    </row>
    <row r="49" customFormat="false" ht="75" hidden="false" customHeight="true" outlineLevel="0" collapsed="false">
      <c r="A49" s="2" t="n">
        <v>45</v>
      </c>
      <c r="B49" s="2" t="n">
        <v>2013</v>
      </c>
      <c r="C49" s="2" t="s">
        <v>933</v>
      </c>
      <c r="D49" s="2" t="s">
        <v>934</v>
      </c>
      <c r="E49" s="2" t="s">
        <v>935</v>
      </c>
      <c r="F49" s="14" t="s">
        <v>936</v>
      </c>
      <c r="G49" s="2"/>
      <c r="H49" s="2" t="s">
        <v>166</v>
      </c>
      <c r="I49" s="2" t="s">
        <v>937</v>
      </c>
      <c r="J49" s="2" t="s">
        <v>50</v>
      </c>
      <c r="K49" s="2" t="s">
        <v>938</v>
      </c>
      <c r="L49" s="15" t="s">
        <v>50</v>
      </c>
      <c r="M49" s="2"/>
      <c r="N49" s="2" t="s">
        <v>52</v>
      </c>
    </row>
    <row r="50" customFormat="false" ht="75" hidden="false" customHeight="true" outlineLevel="0" collapsed="false">
      <c r="A50" s="2" t="n">
        <v>46</v>
      </c>
      <c r="B50" s="2" t="n">
        <v>2012</v>
      </c>
      <c r="C50" s="2" t="s">
        <v>939</v>
      </c>
      <c r="D50" s="2" t="s">
        <v>940</v>
      </c>
      <c r="E50" s="2" t="s">
        <v>941</v>
      </c>
      <c r="F50" s="14" t="s">
        <v>942</v>
      </c>
      <c r="G50" s="2"/>
      <c r="H50" s="2" t="s">
        <v>91</v>
      </c>
      <c r="I50" s="2" t="s">
        <v>943</v>
      </c>
      <c r="J50" s="2" t="s">
        <v>84</v>
      </c>
      <c r="K50" s="2" t="s">
        <v>944</v>
      </c>
      <c r="L50" s="15" t="s">
        <v>84</v>
      </c>
      <c r="M50" s="2"/>
      <c r="N50" s="2" t="s">
        <v>52</v>
      </c>
    </row>
    <row r="51" customFormat="false" ht="75" hidden="false" customHeight="true" outlineLevel="0" collapsed="false">
      <c r="A51" s="2" t="n">
        <v>47</v>
      </c>
      <c r="B51" s="2" t="n">
        <v>2015</v>
      </c>
      <c r="C51" s="2" t="s">
        <v>945</v>
      </c>
      <c r="D51" s="2" t="s">
        <v>946</v>
      </c>
      <c r="E51" s="2" t="s">
        <v>880</v>
      </c>
      <c r="F51" s="14" t="s">
        <v>947</v>
      </c>
      <c r="G51" s="2" t="s">
        <v>948</v>
      </c>
      <c r="H51" s="2" t="s">
        <v>949</v>
      </c>
      <c r="I51" s="2" t="s">
        <v>950</v>
      </c>
      <c r="J51" s="2" t="s">
        <v>50</v>
      </c>
      <c r="K51" s="2" t="s">
        <v>951</v>
      </c>
      <c r="L51" s="15" t="s">
        <v>50</v>
      </c>
      <c r="M51" s="2"/>
      <c r="N51" s="2" t="s">
        <v>52</v>
      </c>
    </row>
    <row r="52" customFormat="false" ht="75" hidden="false" customHeight="true" outlineLevel="0" collapsed="false">
      <c r="A52" s="2" t="n">
        <v>48</v>
      </c>
      <c r="B52" s="2" t="n">
        <v>2014</v>
      </c>
      <c r="C52" s="2" t="s">
        <v>952</v>
      </c>
      <c r="D52" s="2" t="s">
        <v>953</v>
      </c>
      <c r="E52" s="2" t="s">
        <v>767</v>
      </c>
      <c r="F52" s="14" t="s">
        <v>954</v>
      </c>
      <c r="G52" s="2" t="s">
        <v>955</v>
      </c>
      <c r="H52" s="2" t="s">
        <v>181</v>
      </c>
      <c r="I52" s="2" t="s">
        <v>100</v>
      </c>
      <c r="J52" s="2" t="s">
        <v>84</v>
      </c>
      <c r="K52" s="2" t="s">
        <v>956</v>
      </c>
      <c r="L52" s="15" t="s">
        <v>84</v>
      </c>
      <c r="M52" s="2"/>
      <c r="N52" s="2" t="s">
        <v>52</v>
      </c>
    </row>
    <row r="53" customFormat="false" ht="75" hidden="false" customHeight="true" outlineLevel="0" collapsed="false">
      <c r="A53" s="2" t="n">
        <v>49</v>
      </c>
      <c r="B53" s="2" t="n">
        <v>2013</v>
      </c>
      <c r="C53" s="2" t="s">
        <v>957</v>
      </c>
      <c r="D53" s="2" t="s">
        <v>958</v>
      </c>
      <c r="E53" s="2" t="s">
        <v>96</v>
      </c>
      <c r="F53" s="14" t="s">
        <v>959</v>
      </c>
      <c r="G53" s="2" t="s">
        <v>960</v>
      </c>
      <c r="H53" s="2" t="s">
        <v>202</v>
      </c>
      <c r="I53" s="2" t="s">
        <v>961</v>
      </c>
      <c r="J53" s="2" t="s">
        <v>50</v>
      </c>
      <c r="K53" s="2" t="s">
        <v>962</v>
      </c>
      <c r="L53" s="15" t="s">
        <v>50</v>
      </c>
      <c r="M53" s="2"/>
      <c r="N53" s="2" t="s">
        <v>52</v>
      </c>
    </row>
    <row r="54" customFormat="false" ht="75" hidden="false" customHeight="true" outlineLevel="0" collapsed="false">
      <c r="A54" s="2" t="n">
        <v>50</v>
      </c>
      <c r="B54" s="2" t="n">
        <v>2012</v>
      </c>
      <c r="C54" s="2" t="s">
        <v>963</v>
      </c>
      <c r="D54" s="2" t="s">
        <v>964</v>
      </c>
      <c r="E54" s="2" t="s">
        <v>394</v>
      </c>
      <c r="F54" s="14" t="s">
        <v>965</v>
      </c>
      <c r="G54" s="2" t="s">
        <v>966</v>
      </c>
      <c r="H54" s="2" t="s">
        <v>166</v>
      </c>
      <c r="I54" s="2" t="s">
        <v>967</v>
      </c>
      <c r="J54" s="2" t="s">
        <v>84</v>
      </c>
      <c r="K54" s="2" t="s">
        <v>968</v>
      </c>
      <c r="L54" s="15" t="s">
        <v>84</v>
      </c>
      <c r="M54" s="2"/>
      <c r="N54" s="2" t="s">
        <v>52</v>
      </c>
    </row>
  </sheetData>
  <autoFilter ref="A4:N54"/>
  <dataValidations count="1">
    <dataValidation allowBlank="true" errorStyle="stop" operator="between" showDropDown="false" showErrorMessage="false" showInputMessage="false" sqref="L5:L54" type="list">
      <formula1>"A,B,C"</formula1>
      <formula2>0</formula2>
    </dataValidation>
  </dataValidations>
  <hyperlinks>
    <hyperlink ref="F5" r:id="rId1" display="https://openalex.org/W4233763440"/>
    <hyperlink ref="F6" r:id="rId2" display="https://openalex.org/W1986281840"/>
    <hyperlink ref="F7" r:id="rId3" display="https://openalex.org/W2060213987"/>
    <hyperlink ref="F8" r:id="rId4" display="https://openalex.org/W2564183401"/>
    <hyperlink ref="F9" r:id="rId5" display="https://openalex.org/W2110698131"/>
    <hyperlink ref="F10" r:id="rId6" display="https://openalex.org/W2970191788"/>
    <hyperlink ref="F11" r:id="rId7" display="https://openalex.org/W2147646531"/>
    <hyperlink ref="F12" r:id="rId8" display="https://openalex.org/W2270439011"/>
    <hyperlink ref="F13" r:id="rId9" display="https://openalex.org/W2554945760"/>
    <hyperlink ref="F14" r:id="rId10" display="https://openalex.org/W1950343464"/>
    <hyperlink ref="F15" r:id="rId11" display="https://openalex.org/W2014279843"/>
    <hyperlink ref="F16" r:id="rId12" display="https://openalex.org/W329917040"/>
    <hyperlink ref="F17" r:id="rId13" display="https://openalex.org/W2970423453"/>
    <hyperlink ref="F18" r:id="rId14" display="https://openalex.org/W1949466286"/>
    <hyperlink ref="F19" r:id="rId15" display="https://openalex.org/W2144049291"/>
    <hyperlink ref="F20" r:id="rId16" display="https://openalex.org/W1996228435"/>
    <hyperlink ref="F21" r:id="rId17" display="https://openalex.org/W2094917509"/>
    <hyperlink ref="F22" r:id="rId18" display="https://openalex.org/W1983903878"/>
    <hyperlink ref="F23" r:id="rId19" display="https://openalex.org/W2526391094"/>
    <hyperlink ref="F24" r:id="rId20" display="https://openalex.org/W2043552486"/>
    <hyperlink ref="F25" r:id="rId21" display="https://openalex.org/W2410638667"/>
    <hyperlink ref="F26" r:id="rId22" display="https://openalex.org/W1987545539"/>
    <hyperlink ref="F27" r:id="rId23" display="https://openalex.org/W2563637060"/>
    <hyperlink ref="F28" r:id="rId24" display="https://openalex.org/W1533413123"/>
    <hyperlink ref="F29" r:id="rId25" display="https://openalex.org/W2016718980"/>
    <hyperlink ref="F30" r:id="rId26" display="https://openalex.org/W2073174331"/>
    <hyperlink ref="F31" r:id="rId27" display="https://openalex.org/W2103727054"/>
    <hyperlink ref="F32" r:id="rId28" display="https://openalex.org/W1930770503"/>
    <hyperlink ref="F33" r:id="rId29" display="https://openalex.org/W2201837705"/>
    <hyperlink ref="F34" r:id="rId30" display="https://openalex.org/W1971575659"/>
    <hyperlink ref="F35" r:id="rId31" display="https://openalex.org/W329866896"/>
    <hyperlink ref="F36" r:id="rId32" display="https://openalex.org/W2952638625"/>
    <hyperlink ref="F37" r:id="rId33" display="https://openalex.org/W1562086546"/>
    <hyperlink ref="F38" r:id="rId34" display="https://openalex.org/W1534497196"/>
    <hyperlink ref="F39" r:id="rId35" display="https://openalex.org/W2094160436"/>
    <hyperlink ref="F40" r:id="rId36" display="https://openalex.org/W1993861190"/>
    <hyperlink ref="F41" r:id="rId37" display="https://openalex.org/W2026767284"/>
    <hyperlink ref="F42" r:id="rId38" display="https://openalex.org/W2221198076"/>
    <hyperlink ref="F43" r:id="rId39" display="https://openalex.org/W3159473322"/>
    <hyperlink ref="F44" r:id="rId40" display="https://openalex.org/W2156710834"/>
    <hyperlink ref="F45" r:id="rId41" display="https://openalex.org/W2157028755"/>
    <hyperlink ref="F46" r:id="rId42" display="https://openalex.org/W3142025330"/>
    <hyperlink ref="F47" r:id="rId43" display="https://openalex.org/W107716246"/>
    <hyperlink ref="F48" r:id="rId44" display="https://openalex.org/W2531922452"/>
    <hyperlink ref="F49" r:id="rId45" display="https://openalex.org/W42328935"/>
    <hyperlink ref="F50" r:id="rId46" display="https://openalex.org/W2363817629"/>
    <hyperlink ref="F51" r:id="rId47" display="https://openalex.org/W1918046236"/>
    <hyperlink ref="F52" r:id="rId48" display="https://openalex.org/W2034953796"/>
    <hyperlink ref="F53" r:id="rId49" display="https://openalex.org/W2017278113"/>
    <hyperlink ref="F54" r:id="rId50" display="https://openalex.org/W2028262445"/>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22"/>
    <col collapsed="false" customWidth="true" hidden="false" outlineLevel="0" max="4" min="4" style="0" width="14"/>
    <col collapsed="false" customWidth="true" hidden="false" outlineLevel="0" max="6" min="5" style="0" width="18"/>
  </cols>
  <sheetData>
    <row r="1" customFormat="false" ht="15" hidden="false" customHeight="false" outlineLevel="0" collapsed="false">
      <c r="A1" s="4" t="s">
        <v>969</v>
      </c>
    </row>
    <row r="3" customFormat="false" ht="15" hidden="false" customHeight="false" outlineLevel="0" collapsed="false">
      <c r="A3" s="17" t="s">
        <v>30</v>
      </c>
      <c r="B3" s="17" t="s">
        <v>970</v>
      </c>
      <c r="C3" s="17" t="s">
        <v>971</v>
      </c>
      <c r="D3" s="17" t="s">
        <v>972</v>
      </c>
      <c r="E3" s="17" t="s">
        <v>973</v>
      </c>
      <c r="F3" s="17" t="s">
        <v>974</v>
      </c>
    </row>
    <row r="4" customFormat="false" ht="15" hidden="false" customHeight="false" outlineLevel="0" collapsed="false">
      <c r="A4" s="5" t="n">
        <v>2005</v>
      </c>
      <c r="B4" s="18" t="n">
        <v>45</v>
      </c>
      <c r="C4" s="18" t="n">
        <v>29</v>
      </c>
      <c r="D4" s="18" t="n">
        <v>27</v>
      </c>
      <c r="E4" s="9" t="n">
        <f aca="false">C4/B4</f>
        <v>0.644444444444445</v>
      </c>
      <c r="F4" s="9" t="n">
        <f aca="false">D4/C4</f>
        <v>0.931034482758621</v>
      </c>
    </row>
    <row r="5" customFormat="false" ht="15" hidden="false" customHeight="false" outlineLevel="0" collapsed="false">
      <c r="A5" s="5" t="n">
        <v>2006</v>
      </c>
      <c r="B5" s="18" t="n">
        <v>61</v>
      </c>
      <c r="C5" s="18" t="n">
        <v>38</v>
      </c>
      <c r="D5" s="18" t="n">
        <v>37</v>
      </c>
      <c r="E5" s="9" t="n">
        <f aca="false">C5/B5</f>
        <v>0.622950819672131</v>
      </c>
      <c r="F5" s="9" t="n">
        <f aca="false">D5/C5</f>
        <v>0.973684210526316</v>
      </c>
    </row>
    <row r="6" customFormat="false" ht="15" hidden="false" customHeight="false" outlineLevel="0" collapsed="false">
      <c r="A6" s="5" t="n">
        <v>2007</v>
      </c>
      <c r="B6" s="18" t="n">
        <v>68</v>
      </c>
      <c r="C6" s="18" t="n">
        <v>48</v>
      </c>
      <c r="D6" s="18" t="n">
        <v>48</v>
      </c>
      <c r="E6" s="9" t="n">
        <f aca="false">C6/B6</f>
        <v>0.705882352941177</v>
      </c>
      <c r="F6" s="9" t="n">
        <f aca="false">D6/C6</f>
        <v>1</v>
      </c>
    </row>
    <row r="7" customFormat="false" ht="15" hidden="false" customHeight="false" outlineLevel="0" collapsed="false">
      <c r="A7" s="5" t="n">
        <v>2008</v>
      </c>
      <c r="B7" s="18" t="n">
        <v>65</v>
      </c>
      <c r="C7" s="18" t="n">
        <v>39</v>
      </c>
      <c r="D7" s="18" t="n">
        <v>36</v>
      </c>
      <c r="E7" s="9" t="n">
        <f aca="false">C7/B7</f>
        <v>0.6</v>
      </c>
      <c r="F7" s="9" t="n">
        <f aca="false">D7/C7</f>
        <v>0.923076923076923</v>
      </c>
    </row>
    <row r="8" customFormat="false" ht="15" hidden="false" customHeight="false" outlineLevel="0" collapsed="false">
      <c r="A8" s="5" t="n">
        <v>2009</v>
      </c>
      <c r="B8" s="18" t="n">
        <v>98</v>
      </c>
      <c r="C8" s="18" t="n">
        <v>57</v>
      </c>
      <c r="D8" s="18" t="n">
        <v>51</v>
      </c>
      <c r="E8" s="9" t="n">
        <f aca="false">C8/B8</f>
        <v>0.581632653061225</v>
      </c>
      <c r="F8" s="9" t="n">
        <f aca="false">D8/C8</f>
        <v>0.894736842105263</v>
      </c>
    </row>
    <row r="9" customFormat="false" ht="15" hidden="false" customHeight="false" outlineLevel="0" collapsed="false">
      <c r="A9" s="5" t="n">
        <v>2010</v>
      </c>
      <c r="B9" s="18" t="n">
        <v>100</v>
      </c>
      <c r="C9" s="18" t="n">
        <v>62</v>
      </c>
      <c r="D9" s="18" t="n">
        <v>59</v>
      </c>
      <c r="E9" s="9" t="n">
        <f aca="false">C9/B9</f>
        <v>0.62</v>
      </c>
      <c r="F9" s="9" t="n">
        <f aca="false">D9/C9</f>
        <v>0.951612903225807</v>
      </c>
    </row>
    <row r="10" customFormat="false" ht="15" hidden="false" customHeight="false" outlineLevel="0" collapsed="false">
      <c r="A10" s="5" t="n">
        <v>2011</v>
      </c>
      <c r="B10" s="18" t="n">
        <v>101</v>
      </c>
      <c r="C10" s="18" t="n">
        <v>80</v>
      </c>
      <c r="D10" s="18" t="n">
        <v>71</v>
      </c>
      <c r="E10" s="9" t="n">
        <f aca="false">C10/B10</f>
        <v>0.792079207920792</v>
      </c>
      <c r="F10" s="9" t="n">
        <f aca="false">D10/C10</f>
        <v>0.8875</v>
      </c>
    </row>
    <row r="11" customFormat="false" ht="15" hidden="false" customHeight="false" outlineLevel="0" collapsed="false">
      <c r="A11" s="5" t="n">
        <v>2012</v>
      </c>
      <c r="B11" s="18" t="n">
        <v>174</v>
      </c>
      <c r="C11" s="18" t="n">
        <v>126</v>
      </c>
      <c r="D11" s="18" t="n">
        <v>112</v>
      </c>
      <c r="E11" s="9" t="n">
        <f aca="false">C11/B11</f>
        <v>0.724137931034483</v>
      </c>
      <c r="F11" s="9" t="n">
        <f aca="false">D11/C11</f>
        <v>0.888888888888889</v>
      </c>
    </row>
    <row r="12" customFormat="false" ht="15" hidden="false" customHeight="false" outlineLevel="0" collapsed="false">
      <c r="A12" s="5" t="n">
        <v>2013</v>
      </c>
      <c r="B12" s="18" t="n">
        <v>217</v>
      </c>
      <c r="C12" s="18" t="n">
        <v>171</v>
      </c>
      <c r="D12" s="18" t="n">
        <v>141</v>
      </c>
      <c r="E12" s="9" t="n">
        <f aca="false">C12/B12</f>
        <v>0.788018433179724</v>
      </c>
      <c r="F12" s="9" t="n">
        <f aca="false">D12/C12</f>
        <v>0.824561403508772</v>
      </c>
    </row>
    <row r="13" customFormat="false" ht="15" hidden="false" customHeight="false" outlineLevel="0" collapsed="false">
      <c r="A13" s="5" t="n">
        <v>2014</v>
      </c>
      <c r="B13" s="18" t="n">
        <v>277</v>
      </c>
      <c r="C13" s="18" t="n">
        <v>233</v>
      </c>
      <c r="D13" s="18" t="n">
        <v>204</v>
      </c>
      <c r="E13" s="9" t="n">
        <f aca="false">C13/B13</f>
        <v>0.84115523465704</v>
      </c>
      <c r="F13" s="9" t="n">
        <f aca="false">D13/C13</f>
        <v>0.875536480686695</v>
      </c>
    </row>
    <row r="14" customFormat="false" ht="15" hidden="false" customHeight="false" outlineLevel="0" collapsed="false">
      <c r="A14" s="5" t="n">
        <v>2015</v>
      </c>
      <c r="B14" s="18" t="n">
        <v>371</v>
      </c>
      <c r="C14" s="18" t="n">
        <v>309</v>
      </c>
      <c r="D14" s="18" t="n">
        <v>275</v>
      </c>
      <c r="E14" s="9" t="n">
        <f aca="false">C14/B14</f>
        <v>0.83288409703504</v>
      </c>
      <c r="F14" s="9" t="n">
        <f aca="false">D14/C14</f>
        <v>0.889967637540453</v>
      </c>
    </row>
    <row r="15" customFormat="false" ht="15" hidden="false" customHeight="false" outlineLevel="0" collapsed="false">
      <c r="A15" s="5" t="n">
        <v>2016</v>
      </c>
      <c r="B15" s="18" t="n">
        <v>498</v>
      </c>
      <c r="C15" s="18" t="n">
        <v>435</v>
      </c>
      <c r="D15" s="18" t="n">
        <v>386</v>
      </c>
      <c r="E15" s="9" t="n">
        <f aca="false">C15/B15</f>
        <v>0.873493975903614</v>
      </c>
      <c r="F15" s="9" t="n">
        <f aca="false">D15/C15</f>
        <v>0.88735632183908</v>
      </c>
    </row>
    <row r="16" customFormat="false" ht="15" hidden="false" customHeight="false" outlineLevel="0" collapsed="false">
      <c r="A16" s="5" t="n">
        <v>2017</v>
      </c>
      <c r="B16" s="18" t="n">
        <v>646</v>
      </c>
      <c r="C16" s="18" t="n">
        <v>585</v>
      </c>
      <c r="D16" s="18" t="n">
        <v>518</v>
      </c>
      <c r="E16" s="9" t="n">
        <f aca="false">C16/B16</f>
        <v>0.905572755417957</v>
      </c>
      <c r="F16" s="9" t="n">
        <f aca="false">D16/C16</f>
        <v>0.885470085470085</v>
      </c>
    </row>
    <row r="17" customFormat="false" ht="15" hidden="false" customHeight="false" outlineLevel="0" collapsed="false">
      <c r="A17" s="5" t="n">
        <v>2018</v>
      </c>
      <c r="B17" s="18" t="n">
        <v>928</v>
      </c>
      <c r="C17" s="18" t="n">
        <v>863</v>
      </c>
      <c r="D17" s="18" t="n">
        <v>751</v>
      </c>
      <c r="E17" s="9" t="n">
        <f aca="false">C17/B17</f>
        <v>0.929956896551724</v>
      </c>
      <c r="F17" s="9" t="n">
        <f aca="false">D17/C17</f>
        <v>0.870220162224797</v>
      </c>
    </row>
    <row r="18" customFormat="false" ht="15" hidden="false" customHeight="false" outlineLevel="0" collapsed="false">
      <c r="A18" s="5" t="n">
        <v>2019</v>
      </c>
      <c r="B18" s="18" t="n">
        <v>1147</v>
      </c>
      <c r="C18" s="18" t="n">
        <v>1077</v>
      </c>
      <c r="D18" s="18" t="n">
        <v>920</v>
      </c>
      <c r="E18" s="9" t="n">
        <f aca="false">C18/B18</f>
        <v>0.93897122929381</v>
      </c>
      <c r="F18" s="9" t="n">
        <f aca="false">D18/C18</f>
        <v>0.85422469823584</v>
      </c>
    </row>
    <row r="19" customFormat="false" ht="15" hidden="false" customHeight="false" outlineLevel="0" collapsed="false">
      <c r="A19" s="5" t="n">
        <v>2020</v>
      </c>
      <c r="B19" s="18" t="n">
        <v>1495</v>
      </c>
      <c r="C19" s="18" t="n">
        <v>1417</v>
      </c>
      <c r="D19" s="18" t="n">
        <v>1190</v>
      </c>
      <c r="E19" s="9" t="n">
        <f aca="false">C19/B19</f>
        <v>0.947826086956522</v>
      </c>
      <c r="F19" s="9" t="n">
        <f aca="false">D19/C19</f>
        <v>0.839802399435427</v>
      </c>
    </row>
    <row r="20" customFormat="false" ht="15" hidden="false" customHeight="false" outlineLevel="0" collapsed="false">
      <c r="A20" s="5" t="n">
        <v>2021</v>
      </c>
      <c r="B20" s="18" t="n">
        <v>1735</v>
      </c>
      <c r="C20" s="18" t="n">
        <v>1663</v>
      </c>
      <c r="D20" s="18" t="n">
        <v>1377</v>
      </c>
      <c r="E20" s="9" t="n">
        <f aca="false">C20/B20</f>
        <v>0.95850144092219</v>
      </c>
      <c r="F20" s="9" t="n">
        <f aca="false">D20/C20</f>
        <v>0.828021647624775</v>
      </c>
    </row>
    <row r="21" customFormat="false" ht="15" hidden="false" customHeight="false" outlineLevel="0" collapsed="false">
      <c r="A21" s="5" t="n">
        <v>2022</v>
      </c>
      <c r="B21" s="18" t="n">
        <v>1837</v>
      </c>
      <c r="C21" s="18" t="n">
        <v>1749</v>
      </c>
      <c r="D21" s="18" t="n">
        <v>1425</v>
      </c>
      <c r="E21" s="9" t="n">
        <f aca="false">C21/B21</f>
        <v>0.952095808383234</v>
      </c>
      <c r="F21" s="9" t="n">
        <f aca="false">D21/C21</f>
        <v>0.8147512864494</v>
      </c>
    </row>
    <row r="22" customFormat="false" ht="15" hidden="false" customHeight="false" outlineLevel="0" collapsed="false">
      <c r="A22" s="5" t="n">
        <v>2023</v>
      </c>
      <c r="B22" s="18" t="n">
        <v>2234</v>
      </c>
      <c r="C22" s="18" t="n">
        <v>2132</v>
      </c>
      <c r="D22" s="18" t="n">
        <v>1734</v>
      </c>
      <c r="E22" s="9" t="n">
        <f aca="false">C22/B22</f>
        <v>0.954341987466428</v>
      </c>
      <c r="F22" s="9" t="n">
        <f aca="false">D22/C22</f>
        <v>0.813320825515947</v>
      </c>
    </row>
    <row r="23" customFormat="false" ht="15" hidden="false" customHeight="false" outlineLevel="0" collapsed="false">
      <c r="A23" s="5" t="n">
        <v>2024</v>
      </c>
      <c r="B23" s="18" t="n">
        <v>3118</v>
      </c>
      <c r="C23" s="18" t="n">
        <v>3012</v>
      </c>
      <c r="D23" s="18" t="n">
        <v>2455</v>
      </c>
      <c r="E23" s="9" t="n">
        <f aca="false">C23/B23</f>
        <v>0.966003848620911</v>
      </c>
      <c r="F23" s="9" t="n">
        <f aca="false">D23/C23</f>
        <v>0.815073041168659</v>
      </c>
    </row>
    <row r="24" customFormat="false" ht="15" hidden="false" customHeight="false" outlineLevel="0" collapsed="false">
      <c r="A24" s="5" t="n">
        <v>2025</v>
      </c>
      <c r="B24" s="18" t="n">
        <v>4525</v>
      </c>
      <c r="C24" s="18" t="n">
        <v>4381</v>
      </c>
      <c r="D24" s="18" t="n">
        <v>3529</v>
      </c>
      <c r="E24" s="9" t="n">
        <f aca="false">C24/B24</f>
        <v>0.968176795580111</v>
      </c>
      <c r="F24" s="9" t="n">
        <f aca="false">D24/C24</f>
        <v>0.805523853001598</v>
      </c>
    </row>
    <row r="26" customFormat="false" ht="15" hidden="false" customHeight="false" outlineLevel="0" collapsed="false">
      <c r="A26" s="4" t="s">
        <v>975</v>
      </c>
      <c r="B26" s="8" t="n">
        <f aca="false">(B24/B4)^(1/20)-1</f>
        <v>0.259274193792856</v>
      </c>
      <c r="C26" s="8" t="n">
        <f aca="false">(C24/C4)^(1/20)-1</f>
        <v>0.285164624883654</v>
      </c>
      <c r="D26" s="8" t="n">
        <f aca="false">(D24/D4)^(1/20)-1</f>
        <v>0.27589341119029</v>
      </c>
    </row>
    <row r="27" customFormat="false" ht="15" hidden="false" customHeight="false" outlineLevel="0" collapsed="false">
      <c r="A27" s="4" t="s">
        <v>976</v>
      </c>
      <c r="B27" s="8" t="n">
        <f aca="false">(B24/B14)^(1/10)-1</f>
        <v>0.284175758353106</v>
      </c>
      <c r="C27" s="8" t="n">
        <f aca="false">(C24/C14)^(1/10)-1</f>
        <v>0.30365140601619</v>
      </c>
      <c r="D27" s="8" t="n">
        <f aca="false">(D24/D14)^(1/10)-1</f>
        <v>0.290719574571456</v>
      </c>
    </row>
    <row r="29" customFormat="false" ht="15" hidden="false" customHeight="false" outlineLevel="0" collapsed="false">
      <c r="A29" s="11" t="s">
        <v>977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2026-08-27T21:10:50Z</dcterms:created>
  <dc:creator>openpyxl</dc:creator>
  <dc:description/>
  <dc:language>en-US</dc:language>
  <cp:lastModifiedBy/>
  <dcterms:modified xsi:type="dcterms:W3CDTF">2026-08-27T21:10:51Z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