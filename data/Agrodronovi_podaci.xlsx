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nnual" sheetId="2" state="visible" r:id="rId4"/>
    <sheet name="Raw_long" sheetId="3" state="visible" r:id="rId5"/>
    <sheet name="Queries" sheetId="4" state="visible" r:id="rId6"/>
    <sheet name="Aggregates" sheetId="5" state="visible" r:id="rId7"/>
    <sheet name="Registry" sheetId="6" state="visible" r:id="rId8"/>
    <sheet name="Model_results"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publication_year u OpenAlexu; 2026 je nepotpuna (dohvat 26. 8. 2026.)</t>
        </r>
      </text>
    </comment>
  </commentList>
</comments>
</file>

<file path=xl/sharedStrings.xml><?xml version="1.0" encoding="utf-8"?>
<sst xmlns="http://schemas.openxmlformats.org/spreadsheetml/2006/main" count="843" uniqueCount="228">
  <si>
    <t xml:space="preserve">Agrodronovi — dronovi u poljoprivredi: podaci za analizu i predviđanje</t>
  </si>
  <si>
    <t xml:space="preserve">Izvor: OpenAlex (https://api.openalex.org), endpoint /works, group_by=publication_year; datum dohvata 28. 8. 2026.</t>
  </si>
  <si>
    <t xml:space="preserve">Filtri zajednički svim upitima: title_and_abstract.search:&lt;UPIT&gt;, publication_year:2000-2026, type:article|review</t>
  </si>
  <si>
    <t xml:space="preserve">URL-predložak: https://api.openalex.org/works?filter=title_and_abstract.search:&lt;UPIT&gt;,publication_year:2000-2026,type:article|review&amp;group_by=publication_year&amp;per-page=50&amp;mailto=&lt;e-mail&gt;</t>
  </si>
  <si>
    <t xml:space="preserve">Listovi:</t>
  </si>
  <si>
    <t xml:space="preserve">  Annual — jedan redak = jedna godina; dohvaćeni brojevi plavo, formule crno. Ovo je ulaz za MATLAB skriptu (CSV verzija: openalex_drone_agro_annual.csv). Glavna serija core_drone_agro = čisti upit (D AND A NOT N); core_drone_agro_raw = sirovi upit.</t>
  </si>
  <si>
    <t xml:space="preserve">  Raw_long — isti podaci u dugom formatu (serija, godina, broj), kako su ispisani iz API-ja.</t>
  </si>
  <si>
    <t xml:space="preserve">  Queries — točne definicije svih Booleovih upita.</t>
  </si>
  <si>
    <t xml:space="preserve">  Aggregates — zemlje, časopisi, polja, otvoreni pristup, citiranost za core upit 2005–2025.</t>
  </si>
  <si>
    <t xml:space="preserve">  Registry — FAA / AESA / EASA / HACZ registarski pokazatelji s izvorima (pomoćno; Eurostat nema seriju o dronovima).</t>
  </si>
  <si>
    <t xml:space="preserve">  Model_results — izlaz skripte drone_env_forecast.m (Octave, 1000 bootstrap replika): modeli i predviđanja. NISU ulazni podaci.</t>
  </si>
  <si>
    <t xml:space="preserve">Boje: plavo = dohvaćeni/uneseni podaci, crno = formule.</t>
  </si>
  <si>
    <t xml:space="preserve">Napomene: 2026. je nepotpuna godina (complete_year = 0) i ne ulazi u fit. Poddomene (sub_*) se preklapaju i nisu podskup core_drone_agro.</t>
  </si>
  <si>
    <t xml:space="preserve">Skok u 2025. u svim serijama dijelom je artefakt indeksiranja OpenAlexa (vidi codebook.md).</t>
  </si>
  <si>
    <t xml:space="preserve">year</t>
  </si>
  <si>
    <t xml:space="preserve">core_drone_agro</t>
  </si>
  <si>
    <t xml:space="preserve">core_drone_agro_raw</t>
  </si>
  <si>
    <t xml:space="preserve">strict_noenv</t>
  </si>
  <si>
    <t xml:space="preserve">agro_only</t>
  </si>
  <si>
    <t xml:space="preserve">drone_only</t>
  </si>
  <si>
    <t xml:space="preserve">subfield1102_agronomy</t>
  </si>
  <si>
    <t xml:space="preserve">field11_agbio</t>
  </si>
  <si>
    <t xml:space="preserve">all_works</t>
  </si>
  <si>
    <t xml:space="preserve">sub_crop_monitoring</t>
  </si>
  <si>
    <t xml:space="preserve">sub_spraying</t>
  </si>
  <si>
    <t xml:space="preserve">sub_weeds</t>
  </si>
  <si>
    <t xml:space="preserve">sub_irrigation</t>
  </si>
  <si>
    <t xml:space="preserve">sub_disease_pest</t>
  </si>
  <si>
    <t xml:space="preserve">sub_yield</t>
  </si>
  <si>
    <t xml:space="preserve">sub_livestock</t>
  </si>
  <si>
    <t xml:space="preserve">HR_core</t>
  </si>
  <si>
    <t xml:space="preserve">HR_all</t>
  </si>
  <si>
    <t xml:space="preserve">complete_year</t>
  </si>
  <si>
    <t xml:space="preserve">share_per_1000_agro</t>
  </si>
  <si>
    <t xml:space="preserve">share_of_drone_lit</t>
  </si>
  <si>
    <t xml:space="preserve">core_yoy_growth</t>
  </si>
  <si>
    <t xml:space="preserve">share_subfield1102_per_1000</t>
  </si>
  <si>
    <t xml:space="preserve">godina</t>
  </si>
  <si>
    <t xml:space="preserve">broj radova</t>
  </si>
  <si>
    <t xml:space="preserve">1 = puna godina</t>
  </si>
  <si>
    <t xml:space="preserve">core/agro_only×1000</t>
  </si>
  <si>
    <t xml:space="preserve">core/drone_only</t>
  </si>
  <si>
    <t xml:space="preserve">(core_t/core_t-1)−1</t>
  </si>
  <si>
    <t xml:space="preserve">core/subfield1102×1000</t>
  </si>
  <si>
    <t xml:space="preserve">Sažetak (formule, potpune godine 2005–2025)</t>
  </si>
  <si>
    <t xml:space="preserve">Ukupno radova 2005–2025</t>
  </si>
  <si>
    <t xml:space="preserve">CAGR 2005–2025</t>
  </si>
  <si>
    <t xml:space="preserve">CAGR 2015–2025</t>
  </si>
  <si>
    <t xml:space="preserve">Udio na 1000 (2005)</t>
  </si>
  <si>
    <t xml:space="preserve">Udio na 1000 (2025)</t>
  </si>
  <si>
    <t xml:space="preserve">Izvor: OpenAlex API, dohvat 28. 8. 2026.; upiti na listu Queries.</t>
  </si>
  <si>
    <t xml:space="preserve">series</t>
  </si>
  <si>
    <t xml:space="preserve">count</t>
  </si>
  <si>
    <t xml:space="preserve">strict_noenv_raw</t>
  </si>
  <si>
    <t xml:space="preserve">HR_core_raw</t>
  </si>
  <si>
    <t xml:space="preserve">Serija</t>
  </si>
  <si>
    <t xml:space="preserve">Upit (title_and_abstract.search) / filtar</t>
  </si>
  <si>
    <t xml:space="preserve">Uloga</t>
  </si>
  <si>
    <t xml:space="preserve">D (dron)</t>
  </si>
  <si>
    <t xml:space="preserve">(drone OR drones OR UAV OR UAVs OR UAS OR "unmanned aerial" OR "unmanned aircraft" OR RPAS OR "remotely piloted aircraft")</t>
  </si>
  <si>
    <t xml:space="preserve">sastavni dio</t>
  </si>
  <si>
    <t xml:space="preserve">A (poljoprivreda)</t>
  </si>
  <si>
    <t xml:space="preserve">(agriculture OR agricultural OR "precision agriculture" OR "precision farming" OR "smart farming" OR farm OR farms OR farming OR farmland OR crop OR crops OR cropland OR yield OR irrigation OR fertilizer OR fertiliser OR fertilization OR pesticide OR pesticides OR spraying OR herbicide OR weed OR weeds OR phenotyping OR livestock OR cattle OR orchard OR orchards OR vineyard OR vineyards OR agronomy OR agronomic OR "plant disease" OR "crop disease" OR "soil moisture" OR paddy OR "arable land")</t>
  </si>
  <si>
    <t xml:space="preserve">N (isključenje šuma)</t>
  </si>
  <si>
    <t xml:space="preserve">(drosophila OR gal4 OR transgene OR transgenic OR bee OR bees OR honeybee OR honeybees OR "honey bee" OR bumblebee OR apis OR urticaria OR aneurysm OR aneurysms OR patients OR "university of agricultural sciences")</t>
  </si>
  <si>
    <t xml:space="preserve">X (ekološki pojmovi)</t>
  </si>
  <si>
    <t xml:space="preserve">(forest OR forests OR forestry OR wildlife OR ecology OR ecological OR biodiversity OR habitat OR wetland OR wetlands OR "protected area" OR wildfire OR marine OR coastal)</t>
  </si>
  <si>
    <t xml:space="preserve">D AND A NOT N</t>
  </si>
  <si>
    <t xml:space="preserve">brojnik (glavna serija)</t>
  </si>
  <si>
    <t xml:space="preserve">D AND A</t>
  </si>
  <si>
    <t xml:space="preserve">sirovi upit (osjetljivost, uzorci)</t>
  </si>
  <si>
    <t xml:space="preserve">D AND A NOT N NOT X</t>
  </si>
  <si>
    <t xml:space="preserve">strogi upit</t>
  </si>
  <si>
    <t xml:space="preserve">A</t>
  </si>
  <si>
    <t xml:space="preserve">nazivnik 1</t>
  </si>
  <si>
    <t xml:space="preserve">filter primary_topic.subfield.id:1102 (Agronomy and Crop Science)</t>
  </si>
  <si>
    <t xml:space="preserve">nazivnik 2</t>
  </si>
  <si>
    <t xml:space="preserve">filter primary_topic.field.id:11</t>
  </si>
  <si>
    <t xml:space="preserve">nazivnik 3</t>
  </si>
  <si>
    <t xml:space="preserve">bez tekstualnog filtra</t>
  </si>
  <si>
    <t xml:space="preserve">nazivnik 4</t>
  </si>
  <si>
    <t xml:space="preserve">D</t>
  </si>
  <si>
    <t xml:space="preserve">kontekst</t>
  </si>
  <si>
    <t xml:space="preserve">D AND ("crop monitoring" OR "crop growth" OR phenotyping OR "vegetation index" OR NDVI OR "crop health" OR canopy OR "biomass estimation" OR "leaf area index") AND (crop OR crops OR agriculture OR agricultural OR farm OR farming)</t>
  </si>
  <si>
    <t xml:space="preserve">poddomena</t>
  </si>
  <si>
    <t xml:space="preserve">D AND (spraying OR sprayer OR spray OR pesticide OR pesticides OR herbicide OR fungicide OR "fertilizer application" OR "variable rate application" OR "plant protection")</t>
  </si>
  <si>
    <t xml:space="preserve">D AND (weed OR weeds OR "weed detection" OR "weed mapping" OR "site-specific weed")</t>
  </si>
  <si>
    <t xml:space="preserve">D AND (irrigation OR "water stress" OR "soil moisture" OR evapotranspiration OR drought) AND (crop OR crops OR agriculture OR agricultural OR farm OR farming OR field)</t>
  </si>
  <si>
    <t xml:space="preserve">D AND ("plant disease" OR "crop disease" OR "disease detection" OR pest OR pests OR "pest detection" OR infestation) AND (crop OR crops OR agriculture OR agricultural OR farm OR plant)</t>
  </si>
  <si>
    <t xml:space="preserve">D AND ("yield prediction" OR "yield estimation" OR "yield forecasting" OR "yield mapping" OR "grain yield") AND (crop OR crops OR agriculture OR agricultural OR farm OR wheat OR maize OR rice OR soybean)</t>
  </si>
  <si>
    <t xml:space="preserve">D AND (livestock OR cattle OR sheep OR grazing OR pasture OR "animal husbandry" OR herd)</t>
  </si>
  <si>
    <t xml:space="preserve">D AND A NOT N, filter authorships.countries:HR, 2005–2025</t>
  </si>
  <si>
    <t xml:space="preserve">HR brojnik</t>
  </si>
  <si>
    <t xml:space="preserve">filter authorships.countries:HR, 2005–2025</t>
  </si>
  <si>
    <t xml:space="preserve">HR nazivnik</t>
  </si>
  <si>
    <t xml:space="preserve">Zemlje (authorships.countries), sirovi upit 2005–2025, top 15</t>
  </si>
  <si>
    <t xml:space="preserve">Stavka</t>
  </si>
  <si>
    <t xml:space="preserve">Broj radova</t>
  </si>
  <si>
    <t xml:space="preserve">China</t>
  </si>
  <si>
    <t xml:space="preserve">United States</t>
  </si>
  <si>
    <t xml:space="preserve">India</t>
  </si>
  <si>
    <t xml:space="preserve">Germany</t>
  </si>
  <si>
    <t xml:space="preserve">United Kingdom</t>
  </si>
  <si>
    <t xml:space="preserve">Spain</t>
  </si>
  <si>
    <t xml:space="preserve">Brazil</t>
  </si>
  <si>
    <t xml:space="preserve">Italy</t>
  </si>
  <si>
    <t xml:space="preserve">Australia</t>
  </si>
  <si>
    <t xml:space="preserve">Canada</t>
  </si>
  <si>
    <t xml:space="preserve">Japan</t>
  </si>
  <si>
    <t xml:space="preserve">South Korea</t>
  </si>
  <si>
    <t xml:space="preserve">France</t>
  </si>
  <si>
    <t xml:space="preserve">Indonesia</t>
  </si>
  <si>
    <t xml:space="preserve">Russia</t>
  </si>
  <si>
    <t xml:space="preserve">Časopisi (primary_location.source), top 15</t>
  </si>
  <si>
    <t xml:space="preserve">Remote Sensing</t>
  </si>
  <si>
    <t xml:space="preserve">Computers and Electronics in Agriculture</t>
  </si>
  <si>
    <t xml:space="preserve">Drones</t>
  </si>
  <si>
    <t xml:space="preserve">Agronomy</t>
  </si>
  <si>
    <t xml:space="preserve">Sensors</t>
  </si>
  <si>
    <t xml:space="preserve">Frontiers in Plant Science</t>
  </si>
  <si>
    <t xml:space="preserve">Agriculture</t>
  </si>
  <si>
    <t xml:space="preserve">Zenodo</t>
  </si>
  <si>
    <t xml:space="preserve">ISPRS Archives</t>
  </si>
  <si>
    <t xml:space="preserve">Smart Agricultural Technology</t>
  </si>
  <si>
    <t xml:space="preserve">IEEE Access</t>
  </si>
  <si>
    <t xml:space="preserve">Precision Agriculture</t>
  </si>
  <si>
    <t xml:space="preserve">Applied Sciences</t>
  </si>
  <si>
    <t xml:space="preserve">Scientific Reports</t>
  </si>
  <si>
    <t xml:space="preserve">Int. J. Agricultural and Biological Engineering</t>
  </si>
  <si>
    <t xml:space="preserve">Primarno polje (primary_topic.field), top 8</t>
  </si>
  <si>
    <t xml:space="preserve">Agricultural and Biological Sciences</t>
  </si>
  <si>
    <t xml:space="preserve">Environmental Science</t>
  </si>
  <si>
    <t xml:space="preserve">Engineering</t>
  </si>
  <si>
    <t xml:space="preserve">Computer Science</t>
  </si>
  <si>
    <t xml:space="preserve">Biochemistry, Genetics and Molecular Biology</t>
  </si>
  <si>
    <t xml:space="preserve">Earth and Planetary Sciences</t>
  </si>
  <si>
    <t xml:space="preserve">Medicine</t>
  </si>
  <si>
    <t xml:space="preserve">Social Sciences</t>
  </si>
  <si>
    <t xml:space="preserve">Primarna tema (primary_topic), top 10</t>
  </si>
  <si>
    <t xml:space="preserve">Remote Sensing in Agriculture</t>
  </si>
  <si>
    <t xml:space="preserve">Smart Agriculture and AI</t>
  </si>
  <si>
    <t xml:space="preserve">Remote Sensing and LiDAR Applications</t>
  </si>
  <si>
    <t xml:space="preserve">UAV Applications and Optimization</t>
  </si>
  <si>
    <t xml:space="preserve">Plant Surface Properties and Treatments</t>
  </si>
  <si>
    <t xml:space="preserve">Robotic Path Planning Algorithms</t>
  </si>
  <si>
    <t xml:space="preserve">Remote Sensing and Land Use</t>
  </si>
  <si>
    <t xml:space="preserve">3D Surveying and Cultural Heritage</t>
  </si>
  <si>
    <t xml:space="preserve">Robotics and Sensor-Based Localization</t>
  </si>
  <si>
    <t xml:space="preserve">Soil erosion and sediment transport</t>
  </si>
  <si>
    <t xml:space="preserve">Otvoreni pristup (čisti upit)</t>
  </si>
  <si>
    <t xml:space="preserve">OA = true</t>
  </si>
  <si>
    <t xml:space="preserve">OA = false</t>
  </si>
  <si>
    <t xml:space="preserve">Citiranost (sirovi upit, cited_by_count)</t>
  </si>
  <si>
    <t xml:space="preserve">&gt; 99 citata</t>
  </si>
  <si>
    <t xml:space="preserve">&gt; 49 citata</t>
  </si>
  <si>
    <t xml:space="preserve">&gt; 9 citata</t>
  </si>
  <si>
    <t xml:space="preserve">ukupno radova sirovi (article+review)</t>
  </si>
  <si>
    <t xml:space="preserve">ukupno radova čisti</t>
  </si>
  <si>
    <t xml:space="preserve">broj zemalja</t>
  </si>
  <si>
    <t xml:space="preserve">Izvor: OpenAlex API group_by upiti nad D AND A (sirovi upit), 2005–2025, type:article|review; dohvat 28. 8. 2026.</t>
  </si>
  <si>
    <t xml:space="preserve">indicator</t>
  </si>
  <si>
    <t xml:space="preserve">geo</t>
  </si>
  <si>
    <t xml:space="preserve">value</t>
  </si>
  <si>
    <t xml:space="preserve">source_note</t>
  </si>
  <si>
    <t xml:space="preserve">FAA_commercial_new_registrations_per_year</t>
  </si>
  <si>
    <t xml:space="preserve">US</t>
  </si>
  <si>
    <t xml:space="preserve">FAA Aerospace Forecast FY2025-2045 UAS compendium: 14,600 new registrations/month in 2018 (x12)</t>
  </si>
  <si>
    <t xml:space="preserve">FAA: approx. 10,100/month (x12)</t>
  </si>
  <si>
    <t xml:space="preserve">FAA: 7,850/month (x12)</t>
  </si>
  <si>
    <t xml:space="preserve">FAA: around 8,500/month (x12)</t>
  </si>
  <si>
    <t xml:space="preserve">FAA: 8,750/month (x12)</t>
  </si>
  <si>
    <t xml:space="preserve">FAA: 9,627/month (x12); text says &gt;115,000</t>
  </si>
  <si>
    <t xml:space="preserve">FAA: 10,370/month (x12); text says &gt;124,000</t>
  </si>
  <si>
    <t xml:space="preserve">FAA_commercial_cumulative_registrations</t>
  </si>
  <si>
    <t xml:space="preserve">FAA: cumulative since April 2016</t>
  </si>
  <si>
    <t xml:space="preserve">FAA_commercial_active_fleet</t>
  </si>
  <si>
    <t xml:space="preserve">FAA Aerospace Forecast FY2026-2046, base scenario, historical</t>
  </si>
  <si>
    <t xml:space="preserve">FAA_commercial_active_fleet_forecast_base</t>
  </si>
  <si>
    <t xml:space="preserve">FAA Aerospace Forecast FY2026-2046, base scenario</t>
  </si>
  <si>
    <t xml:space="preserve">FAA_remote_pilot_certificates_thousands</t>
  </si>
  <si>
    <t xml:space="preserve">FAA FY2026-2046</t>
  </si>
  <si>
    <t xml:space="preserve">AESA_registered_UAS_operators</t>
  </si>
  <si>
    <t xml:space="preserve">ES</t>
  </si>
  <si>
    <t xml:space="preserve">AESA press release (derived: 150,332 / 1.26)</t>
  </si>
  <si>
    <t xml:space="preserve">AESA press release, end of 2025</t>
  </si>
  <si>
    <t xml:space="preserve">EASA_registered_operators_EU</t>
  </si>
  <si>
    <t xml:space="preserve">EU</t>
  </si>
  <si>
    <t xml:space="preserve">EASA press release May 2025: more than two million registered drone operators in Europe</t>
  </si>
  <si>
    <t xml:space="preserve">HACZ_registered_UAS_operators</t>
  </si>
  <si>
    <t xml:space="preserve">HR</t>
  </si>
  <si>
    <t xml:space="preserve">HACZ Godisnje izvjesce o radu za 2024.</t>
  </si>
  <si>
    <t xml:space="preserve">HACZ_registered_remote_pilots</t>
  </si>
  <si>
    <t xml:space="preserve">HACZ_specific_category_authorisations</t>
  </si>
  <si>
    <t xml:space="preserve">Napomena: FAA godišnje vrijednosti = objavljeni mjesečni prosjek × 12 (približno). Eurostat nema vremensku seriju o dronovima (provjereno 26. 8. 2026.).</t>
  </si>
  <si>
    <t xml:space="preserve">Modeli — broj radova (target = count), 2005–2025</t>
  </si>
  <si>
    <t xml:space="preserve">model</t>
  </si>
  <si>
    <t xml:space="preserve">k</t>
  </si>
  <si>
    <t xml:space="preserve">deviance</t>
  </si>
  <si>
    <t xml:space="preserve">loglik</t>
  </si>
  <si>
    <t xml:space="preserve">QAICc</t>
  </si>
  <si>
    <t xml:space="preserve">weight</t>
  </si>
  <si>
    <t xml:space="preserve">rmse_log</t>
  </si>
  <si>
    <t xml:space="preserve">chat_pearson</t>
  </si>
  <si>
    <t xml:space="preserve">backtest_MAPE</t>
  </si>
  <si>
    <t xml:space="preserve">backtest_bias</t>
  </si>
  <si>
    <t xml:space="preserve">parameters</t>
  </si>
  <si>
    <t xml:space="preserve">exponential</t>
  </si>
  <si>
    <t xml:space="preserve">a=26.6, b=0.2525 (28.7 %/yr)</t>
  </si>
  <si>
    <t xml:space="preserve">logistic</t>
  </si>
  <si>
    <t xml:space="preserve">K=2.103e+04, r=0.269, t_mid=2030.4</t>
  </si>
  <si>
    <t xml:space="preserve">gompertz</t>
  </si>
  <si>
    <t xml:space="preserve">K=3.221e+09, r=0.017, t_mid=2181.2</t>
  </si>
  <si>
    <t xml:space="preserve">bass</t>
  </si>
  <si>
    <t xml:space="preserve">m=1.903e+05, p=0.00011, q=0.267, t_peak=2033.3</t>
  </si>
  <si>
    <t xml:space="preserve">Modeli — udio (target = share, offset env_only)</t>
  </si>
  <si>
    <t xml:space="preserve">a=0.00019, b=0.1938 (21.4 %/yr)</t>
  </si>
  <si>
    <t xml:space="preserve">K=0.01377, r=0.267, t_mid=2023.5</t>
  </si>
  <si>
    <t xml:space="preserve">K=0.2587, r=0.043, t_mid=2053.4</t>
  </si>
  <si>
    <t xml:space="preserve">Predviđanje — broj radova godišnje (point, q05, q50, q95 = 90 % NB bootstrap, 1000 replika)</t>
  </si>
  <si>
    <t xml:space="preserve">horizon_years</t>
  </si>
  <si>
    <t xml:space="preserve">point</t>
  </si>
  <si>
    <t xml:space="preserve">q05</t>
  </si>
  <si>
    <t xml:space="preserve">q50</t>
  </si>
  <si>
    <t xml:space="preserve">q95</t>
  </si>
  <si>
    <t xml:space="preserve">qaicc_weight</t>
  </si>
  <si>
    <t xml:space="preserve">qaicc_average</t>
  </si>
  <si>
    <t xml:space="preserve">Predviđanje — udio na 1000 radova o okolišu</t>
  </si>
  <si>
    <t xml:space="preserve">Izlaz skripte drone_env_forecast.m (GNU Octave 8.4, seed 20260826). Ovo su rezultati, ne ulazni podaci; ponovno pokretanje u MATLAB-u daje iste točkaste procjene i neznatno drukčije bootstrap intervale.</t>
  </si>
</sst>
</file>

<file path=xl/styles.xml><?xml version="1.0" encoding="utf-8"?>
<styleSheet xmlns="http://schemas.openxmlformats.org/spreadsheetml/2006/main">
  <numFmts count="6">
    <numFmt numFmtId="164" formatCode="General"/>
    <numFmt numFmtId="165" formatCode="0"/>
    <numFmt numFmtId="166" formatCode="#,##0"/>
    <numFmt numFmtId="167" formatCode="0.00"/>
    <numFmt numFmtId="168" formatCode="0.0%"/>
    <numFmt numFmtId="169" formatCode="0.000"/>
  </numFmts>
  <fonts count="12">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name val="Arial"/>
      <family val="0"/>
      <charset val="1"/>
    </font>
    <font>
      <i val="true"/>
      <sz val="9"/>
      <color rgb="FF595959"/>
      <name val="Arial"/>
      <family val="0"/>
      <charset val="1"/>
    </font>
    <font>
      <sz val="10"/>
      <color rgb="FF0000FF"/>
      <name val="Arial"/>
      <family val="0"/>
      <charset val="1"/>
    </font>
    <font>
      <sz val="10"/>
      <color rgb="FF000000"/>
      <name val="Arial"/>
      <family val="0"/>
      <charset val="1"/>
    </font>
    <font>
      <i val="true"/>
      <sz val="9"/>
      <name val="Arial"/>
      <family val="0"/>
      <charset val="1"/>
    </font>
    <font>
      <sz val="10"/>
      <name val="Arial"/>
      <family val="2"/>
    </font>
  </fonts>
  <fills count="3">
    <fill>
      <patternFill patternType="none"/>
    </fill>
    <fill>
      <patternFill patternType="gray125"/>
    </fill>
    <fill>
      <patternFill patternType="solid">
        <fgColor rgb="FFD9E2F3"/>
        <bgColor rgb="FFCC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row>
    <row r="6" customFormat="false" ht="15" hidden="false" customHeight="false" outlineLevel="0" collapsed="false">
      <c r="A6" s="1"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4" min="2" style="0" width="15"/>
  </cols>
  <sheetData>
    <row r="1" customFormat="false" ht="23.85" hidden="false" customHeight="false" outlineLevel="0" collapsed="false">
      <c r="A1" s="3" t="s">
        <v>14</v>
      </c>
      <c r="B1" s="3" t="s">
        <v>15</v>
      </c>
      <c r="C1" s="3" t="s">
        <v>16</v>
      </c>
      <c r="D1" s="3" t="s">
        <v>17</v>
      </c>
      <c r="E1" s="3" t="s">
        <v>18</v>
      </c>
      <c r="F1" s="3" t="s">
        <v>19</v>
      </c>
      <c r="G1" s="3" t="s">
        <v>20</v>
      </c>
      <c r="H1" s="3" t="s">
        <v>21</v>
      </c>
      <c r="I1" s="3" t="s">
        <v>22</v>
      </c>
      <c r="J1" s="3" t="s">
        <v>23</v>
      </c>
      <c r="K1" s="3" t="s">
        <v>24</v>
      </c>
      <c r="L1" s="3" t="s">
        <v>25</v>
      </c>
      <c r="M1" s="3" t="s">
        <v>26</v>
      </c>
      <c r="N1" s="3" t="s">
        <v>27</v>
      </c>
      <c r="O1" s="3" t="s">
        <v>28</v>
      </c>
      <c r="P1" s="3" t="s">
        <v>29</v>
      </c>
      <c r="Q1" s="3" t="s">
        <v>30</v>
      </c>
      <c r="R1" s="3" t="s">
        <v>31</v>
      </c>
      <c r="S1" s="3" t="s">
        <v>32</v>
      </c>
      <c r="T1" s="3"/>
      <c r="U1" s="3" t="s">
        <v>33</v>
      </c>
      <c r="V1" s="3" t="s">
        <v>34</v>
      </c>
      <c r="W1" s="3" t="s">
        <v>35</v>
      </c>
      <c r="X1" s="3" t="s">
        <v>36</v>
      </c>
    </row>
    <row r="2" customFormat="false" ht="15" hidden="false" customHeight="false" outlineLevel="0" collapsed="false">
      <c r="A2" s="4" t="s">
        <v>37</v>
      </c>
      <c r="B2" s="4" t="s">
        <v>38</v>
      </c>
      <c r="C2" s="4" t="s">
        <v>38</v>
      </c>
      <c r="D2" s="4" t="s">
        <v>38</v>
      </c>
      <c r="E2" s="4" t="s">
        <v>38</v>
      </c>
      <c r="F2" s="4" t="s">
        <v>38</v>
      </c>
      <c r="G2" s="4" t="s">
        <v>38</v>
      </c>
      <c r="H2" s="4" t="s">
        <v>38</v>
      </c>
      <c r="I2" s="4" t="s">
        <v>38</v>
      </c>
      <c r="J2" s="4" t="s">
        <v>38</v>
      </c>
      <c r="K2" s="4" t="s">
        <v>38</v>
      </c>
      <c r="L2" s="4" t="s">
        <v>38</v>
      </c>
      <c r="M2" s="4" t="s">
        <v>38</v>
      </c>
      <c r="N2" s="4" t="s">
        <v>38</v>
      </c>
      <c r="O2" s="4" t="s">
        <v>38</v>
      </c>
      <c r="P2" s="4" t="s">
        <v>38</v>
      </c>
      <c r="Q2" s="4" t="s">
        <v>38</v>
      </c>
      <c r="R2" s="4" t="s">
        <v>38</v>
      </c>
      <c r="S2" s="4" t="s">
        <v>39</v>
      </c>
      <c r="T2" s="4"/>
      <c r="U2" s="4" t="s">
        <v>40</v>
      </c>
      <c r="V2" s="4" t="s">
        <v>41</v>
      </c>
      <c r="W2" s="4" t="s">
        <v>42</v>
      </c>
      <c r="X2" s="4" t="s">
        <v>43</v>
      </c>
    </row>
    <row r="3" customFormat="false" ht="15" hidden="false" customHeight="false" outlineLevel="0" collapsed="false">
      <c r="A3" s="5" t="n">
        <v>2000</v>
      </c>
      <c r="B3" s="6" t="n">
        <v>33</v>
      </c>
      <c r="C3" s="6" t="n">
        <v>44</v>
      </c>
      <c r="D3" s="6" t="n">
        <v>30</v>
      </c>
      <c r="E3" s="6" t="n">
        <v>100293</v>
      </c>
      <c r="F3" s="6" t="n">
        <v>560</v>
      </c>
      <c r="G3" s="6" t="n">
        <v>9048</v>
      </c>
      <c r="H3" s="6" t="n">
        <v>141316</v>
      </c>
      <c r="I3" s="6" t="n">
        <v>2859065</v>
      </c>
      <c r="J3" s="6" t="n">
        <v>4</v>
      </c>
      <c r="K3" s="6" t="n">
        <v>5</v>
      </c>
      <c r="L3" s="6" t="n">
        <v>0</v>
      </c>
      <c r="M3" s="6" t="n">
        <v>6</v>
      </c>
      <c r="N3" s="6" t="n">
        <v>1</v>
      </c>
      <c r="O3" s="6" t="n">
        <v>0</v>
      </c>
      <c r="P3" s="6" t="n">
        <v>6</v>
      </c>
      <c r="Q3" s="6" t="n">
        <v>0</v>
      </c>
      <c r="R3" s="6" t="n">
        <v>0</v>
      </c>
      <c r="S3" s="6" t="n">
        <v>1</v>
      </c>
      <c r="U3" s="7" t="n">
        <f aca="false">IF(E3&gt;0,B3/E3*1000,"")</f>
        <v>0.32903592474051</v>
      </c>
      <c r="V3" s="8" t="n">
        <f aca="false">IF(F3&gt;0,B3/F3,"")</f>
        <v>0.0589285714285714</v>
      </c>
      <c r="W3" s="8"/>
      <c r="X3" s="7" t="n">
        <f aca="false">IF(G3&gt;0,B3/G3*1000,"")</f>
        <v>3.64721485411141</v>
      </c>
    </row>
    <row r="4" customFormat="false" ht="15" hidden="false" customHeight="false" outlineLevel="0" collapsed="false">
      <c r="A4" s="5" t="n">
        <v>2001</v>
      </c>
      <c r="B4" s="6" t="n">
        <v>31</v>
      </c>
      <c r="C4" s="6" t="n">
        <v>55</v>
      </c>
      <c r="D4" s="6" t="n">
        <v>28</v>
      </c>
      <c r="E4" s="6" t="n">
        <v>98383</v>
      </c>
      <c r="F4" s="6" t="n">
        <v>585</v>
      </c>
      <c r="G4" s="6" t="n">
        <v>7056</v>
      </c>
      <c r="H4" s="6" t="n">
        <v>118600</v>
      </c>
      <c r="I4" s="6" t="n">
        <v>2818431</v>
      </c>
      <c r="J4" s="6" t="n">
        <v>2</v>
      </c>
      <c r="K4" s="6" t="n">
        <v>8</v>
      </c>
      <c r="L4" s="6" t="n">
        <v>6</v>
      </c>
      <c r="M4" s="6" t="n">
        <v>2</v>
      </c>
      <c r="N4" s="6" t="n">
        <v>2</v>
      </c>
      <c r="O4" s="6" t="n">
        <v>2</v>
      </c>
      <c r="P4" s="6" t="n">
        <v>5</v>
      </c>
      <c r="Q4" s="6" t="n">
        <v>0</v>
      </c>
      <c r="R4" s="6" t="n">
        <v>0</v>
      </c>
      <c r="S4" s="6" t="n">
        <v>1</v>
      </c>
      <c r="U4" s="7" t="n">
        <f aca="false">IF(E4&gt;0,B4/E4*1000,"")</f>
        <v>0.315095087565941</v>
      </c>
      <c r="V4" s="8" t="n">
        <f aca="false">IF(F4&gt;0,B4/F4,"")</f>
        <v>0.052991452991453</v>
      </c>
      <c r="W4" s="8" t="n">
        <f aca="false">IF(B3&gt;0,B4/B3-1,"")</f>
        <v>-0.0606060606060606</v>
      </c>
      <c r="X4" s="7" t="n">
        <f aca="false">IF(G4&gt;0,B4/G4*1000,"")</f>
        <v>4.39342403628118</v>
      </c>
    </row>
    <row r="5" customFormat="false" ht="15" hidden="false" customHeight="false" outlineLevel="0" collapsed="false">
      <c r="A5" s="5" t="n">
        <v>2002</v>
      </c>
      <c r="B5" s="6" t="n">
        <v>26</v>
      </c>
      <c r="C5" s="6" t="n">
        <v>48</v>
      </c>
      <c r="D5" s="6" t="n">
        <v>22</v>
      </c>
      <c r="E5" s="6" t="n">
        <v>107252</v>
      </c>
      <c r="F5" s="6" t="n">
        <v>632</v>
      </c>
      <c r="G5" s="6" t="n">
        <v>7206</v>
      </c>
      <c r="H5" s="6" t="n">
        <v>127052</v>
      </c>
      <c r="I5" s="6" t="n">
        <v>3050120</v>
      </c>
      <c r="J5" s="6" t="n">
        <v>1</v>
      </c>
      <c r="K5" s="6" t="n">
        <v>4</v>
      </c>
      <c r="L5" s="6" t="n">
        <v>5</v>
      </c>
      <c r="M5" s="6" t="n">
        <v>1</v>
      </c>
      <c r="N5" s="6" t="n">
        <v>0</v>
      </c>
      <c r="O5" s="6" t="n">
        <v>0</v>
      </c>
      <c r="P5" s="6" t="n">
        <v>3</v>
      </c>
      <c r="Q5" s="6" t="n">
        <v>0</v>
      </c>
      <c r="R5" s="6" t="n">
        <v>0</v>
      </c>
      <c r="S5" s="6" t="n">
        <v>1</v>
      </c>
      <c r="U5" s="7" t="n">
        <f aca="false">IF(E5&gt;0,B5/E5*1000,"")</f>
        <v>0.24241972177675</v>
      </c>
      <c r="V5" s="8" t="n">
        <f aca="false">IF(F5&gt;0,B5/F5,"")</f>
        <v>0.0411392405063291</v>
      </c>
      <c r="W5" s="8" t="n">
        <f aca="false">IF(B4&gt;0,B5/B4-1,"")</f>
        <v>-0.161290322580645</v>
      </c>
      <c r="X5" s="7" t="n">
        <f aca="false">IF(G5&gt;0,B5/G5*1000,"")</f>
        <v>3.60810435747988</v>
      </c>
    </row>
    <row r="6" customFormat="false" ht="15" hidden="false" customHeight="false" outlineLevel="0" collapsed="false">
      <c r="A6" s="5" t="n">
        <v>2003</v>
      </c>
      <c r="B6" s="6" t="n">
        <v>25</v>
      </c>
      <c r="C6" s="6" t="n">
        <v>43</v>
      </c>
      <c r="D6" s="6" t="n">
        <v>24</v>
      </c>
      <c r="E6" s="6" t="n">
        <v>116807</v>
      </c>
      <c r="F6" s="6" t="n">
        <v>747</v>
      </c>
      <c r="G6" s="6" t="n">
        <v>7437</v>
      </c>
      <c r="H6" s="6" t="n">
        <v>134275</v>
      </c>
      <c r="I6" s="6" t="n">
        <v>3336963</v>
      </c>
      <c r="J6" s="6" t="n">
        <v>4</v>
      </c>
      <c r="K6" s="6" t="n">
        <v>4</v>
      </c>
      <c r="L6" s="6" t="n">
        <v>1</v>
      </c>
      <c r="M6" s="6" t="n">
        <v>0</v>
      </c>
      <c r="N6" s="6" t="n">
        <v>1</v>
      </c>
      <c r="O6" s="6" t="n">
        <v>2</v>
      </c>
      <c r="P6" s="6" t="n">
        <v>5</v>
      </c>
      <c r="Q6" s="6" t="n">
        <v>0</v>
      </c>
      <c r="R6" s="6" t="n">
        <v>0</v>
      </c>
      <c r="S6" s="6" t="n">
        <v>1</v>
      </c>
      <c r="U6" s="7" t="n">
        <f aca="false">IF(E6&gt;0,B6/E6*1000,"")</f>
        <v>0.21402826885375</v>
      </c>
      <c r="V6" s="8" t="n">
        <f aca="false">IF(F6&gt;0,B6/F6,"")</f>
        <v>0.0334672021419009</v>
      </c>
      <c r="W6" s="8" t="n">
        <f aca="false">IF(B5&gt;0,B6/B5-1,"")</f>
        <v>-0.0384615384615384</v>
      </c>
      <c r="X6" s="7" t="n">
        <f aca="false">IF(G6&gt;0,B6/G6*1000,"")</f>
        <v>3.36157052574963</v>
      </c>
    </row>
    <row r="7" customFormat="false" ht="15" hidden="false" customHeight="false" outlineLevel="0" collapsed="false">
      <c r="A7" s="5" t="n">
        <v>2004</v>
      </c>
      <c r="B7" s="6" t="n">
        <v>44</v>
      </c>
      <c r="C7" s="6" t="n">
        <v>77</v>
      </c>
      <c r="D7" s="6" t="n">
        <v>42</v>
      </c>
      <c r="E7" s="6" t="n">
        <v>128208</v>
      </c>
      <c r="F7" s="6" t="n">
        <v>976</v>
      </c>
      <c r="G7" s="6" t="n">
        <v>7805</v>
      </c>
      <c r="H7" s="6" t="n">
        <v>144275</v>
      </c>
      <c r="I7" s="6" t="n">
        <v>3609553</v>
      </c>
      <c r="J7" s="6" t="n">
        <v>1</v>
      </c>
      <c r="K7" s="6" t="n">
        <v>7</v>
      </c>
      <c r="L7" s="6" t="n">
        <v>1</v>
      </c>
      <c r="M7" s="6" t="n">
        <v>2</v>
      </c>
      <c r="N7" s="6" t="n">
        <v>0</v>
      </c>
      <c r="O7" s="6" t="n">
        <v>0</v>
      </c>
      <c r="P7" s="6" t="n">
        <v>5</v>
      </c>
      <c r="Q7" s="6" t="n">
        <v>0</v>
      </c>
      <c r="R7" s="6" t="n">
        <v>0</v>
      </c>
      <c r="S7" s="6" t="n">
        <v>1</v>
      </c>
      <c r="U7" s="7" t="n">
        <f aca="false">IF(E7&gt;0,B7/E7*1000,"")</f>
        <v>0.3431923124922</v>
      </c>
      <c r="V7" s="8" t="n">
        <f aca="false">IF(F7&gt;0,B7/F7,"")</f>
        <v>0.0450819672131148</v>
      </c>
      <c r="W7" s="8" t="n">
        <f aca="false">IF(B6&gt;0,B7/B6-1,"")</f>
        <v>0.76</v>
      </c>
      <c r="X7" s="7" t="n">
        <f aca="false">IF(G7&gt;0,B7/G7*1000,"")</f>
        <v>5.63741191543882</v>
      </c>
    </row>
    <row r="8" customFormat="false" ht="15" hidden="false" customHeight="false" outlineLevel="0" collapsed="false">
      <c r="A8" s="5" t="n">
        <v>2005</v>
      </c>
      <c r="B8" s="6" t="n">
        <v>29</v>
      </c>
      <c r="C8" s="6" t="n">
        <v>45</v>
      </c>
      <c r="D8" s="6" t="n">
        <v>27</v>
      </c>
      <c r="E8" s="6" t="n">
        <v>139927</v>
      </c>
      <c r="F8" s="6" t="n">
        <v>967</v>
      </c>
      <c r="G8" s="6" t="n">
        <v>8367</v>
      </c>
      <c r="H8" s="6" t="n">
        <v>156144</v>
      </c>
      <c r="I8" s="6" t="n">
        <v>3845572</v>
      </c>
      <c r="J8" s="6" t="n">
        <v>0</v>
      </c>
      <c r="K8" s="6" t="n">
        <v>4</v>
      </c>
      <c r="L8" s="6" t="n">
        <v>0</v>
      </c>
      <c r="M8" s="6" t="n">
        <v>0</v>
      </c>
      <c r="N8" s="6" t="n">
        <v>0</v>
      </c>
      <c r="O8" s="6" t="n">
        <v>0</v>
      </c>
      <c r="P8" s="6" t="n">
        <v>3</v>
      </c>
      <c r="Q8" s="6" t="n">
        <v>0</v>
      </c>
      <c r="R8" s="6" t="n">
        <v>3176</v>
      </c>
      <c r="S8" s="6" t="n">
        <v>1</v>
      </c>
      <c r="U8" s="7" t="n">
        <f aca="false">IF(E8&gt;0,B8/E8*1000,"")</f>
        <v>0.207250923695927</v>
      </c>
      <c r="V8" s="8" t="n">
        <f aca="false">IF(F8&gt;0,B8/F8,"")</f>
        <v>0.0299896587383661</v>
      </c>
      <c r="W8" s="8" t="n">
        <f aca="false">IF(B7&gt;0,B8/B7-1,"")</f>
        <v>-0.340909090909091</v>
      </c>
      <c r="X8" s="7" t="n">
        <f aca="false">IF(G8&gt;0,B8/G8*1000,"")</f>
        <v>3.46599737062268</v>
      </c>
    </row>
    <row r="9" customFormat="false" ht="15" hidden="false" customHeight="false" outlineLevel="0" collapsed="false">
      <c r="A9" s="5" t="n">
        <v>2006</v>
      </c>
      <c r="B9" s="6" t="n">
        <v>38</v>
      </c>
      <c r="C9" s="6" t="n">
        <v>61</v>
      </c>
      <c r="D9" s="6" t="n">
        <v>37</v>
      </c>
      <c r="E9" s="6" t="n">
        <v>151174</v>
      </c>
      <c r="F9" s="6" t="n">
        <v>1134</v>
      </c>
      <c r="G9" s="6" t="n">
        <v>9187</v>
      </c>
      <c r="H9" s="6" t="n">
        <v>168946</v>
      </c>
      <c r="I9" s="6" t="n">
        <v>4178171</v>
      </c>
      <c r="J9" s="6" t="n">
        <v>0</v>
      </c>
      <c r="K9" s="6" t="n">
        <v>8</v>
      </c>
      <c r="L9" s="6" t="n">
        <v>1</v>
      </c>
      <c r="M9" s="6" t="n">
        <v>2</v>
      </c>
      <c r="N9" s="6" t="n">
        <v>0</v>
      </c>
      <c r="O9" s="6" t="n">
        <v>2</v>
      </c>
      <c r="P9" s="6" t="n">
        <v>3</v>
      </c>
      <c r="Q9" s="6" t="n">
        <v>0</v>
      </c>
      <c r="R9" s="6" t="n">
        <v>3835</v>
      </c>
      <c r="S9" s="6" t="n">
        <v>1</v>
      </c>
      <c r="U9" s="7" t="n">
        <f aca="false">IF(E9&gt;0,B9/E9*1000,"")</f>
        <v>0.25136597563073</v>
      </c>
      <c r="V9" s="8" t="n">
        <f aca="false">IF(F9&gt;0,B9/F9,"")</f>
        <v>0.0335097001763668</v>
      </c>
      <c r="W9" s="8" t="n">
        <f aca="false">IF(B8&gt;0,B9/B8-1,"")</f>
        <v>0.310344827586207</v>
      </c>
      <c r="X9" s="7" t="n">
        <f aca="false">IF(G9&gt;0,B9/G9*1000,"")</f>
        <v>4.13627952541635</v>
      </c>
    </row>
    <row r="10" customFormat="false" ht="15" hidden="false" customHeight="false" outlineLevel="0" collapsed="false">
      <c r="A10" s="5" t="n">
        <v>2007</v>
      </c>
      <c r="B10" s="6" t="n">
        <v>48</v>
      </c>
      <c r="C10" s="6" t="n">
        <v>68</v>
      </c>
      <c r="D10" s="6" t="n">
        <v>48</v>
      </c>
      <c r="E10" s="6" t="n">
        <v>161425</v>
      </c>
      <c r="F10" s="6" t="n">
        <v>1302</v>
      </c>
      <c r="G10" s="6" t="n">
        <v>10386</v>
      </c>
      <c r="H10" s="6" t="n">
        <v>181247</v>
      </c>
      <c r="I10" s="6" t="n">
        <v>4420227</v>
      </c>
      <c r="J10" s="6" t="n">
        <v>4</v>
      </c>
      <c r="K10" s="6" t="n">
        <v>7</v>
      </c>
      <c r="L10" s="6" t="n">
        <v>2</v>
      </c>
      <c r="M10" s="6" t="n">
        <v>2</v>
      </c>
      <c r="N10" s="6" t="n">
        <v>2</v>
      </c>
      <c r="O10" s="6" t="n">
        <v>0</v>
      </c>
      <c r="P10" s="6" t="n">
        <v>8</v>
      </c>
      <c r="Q10" s="6" t="n">
        <v>0</v>
      </c>
      <c r="R10" s="6" t="n">
        <v>4755</v>
      </c>
      <c r="S10" s="6" t="n">
        <v>1</v>
      </c>
      <c r="U10" s="7" t="n">
        <f aca="false">IF(E10&gt;0,B10/E10*1000,"")</f>
        <v>0.297351711321047</v>
      </c>
      <c r="V10" s="8" t="n">
        <f aca="false">IF(F10&gt;0,B10/F10,"")</f>
        <v>0.0368663594470046</v>
      </c>
      <c r="W10" s="8" t="n">
        <f aca="false">IF(B9&gt;0,B10/B9-1,"")</f>
        <v>0.263157894736842</v>
      </c>
      <c r="X10" s="7" t="n">
        <f aca="false">IF(G10&gt;0,B10/G10*1000,"")</f>
        <v>4.62160600808781</v>
      </c>
    </row>
    <row r="11" customFormat="false" ht="15" hidden="false" customHeight="false" outlineLevel="0" collapsed="false">
      <c r="A11" s="5" t="n">
        <v>2008</v>
      </c>
      <c r="B11" s="6" t="n">
        <v>39</v>
      </c>
      <c r="C11" s="6" t="n">
        <v>65</v>
      </c>
      <c r="D11" s="6" t="n">
        <v>36</v>
      </c>
      <c r="E11" s="6" t="n">
        <v>177606</v>
      </c>
      <c r="F11" s="6" t="n">
        <v>1465</v>
      </c>
      <c r="G11" s="6" t="n">
        <v>11389</v>
      </c>
      <c r="H11" s="6" t="n">
        <v>200022</v>
      </c>
      <c r="I11" s="6" t="n">
        <v>4844941</v>
      </c>
      <c r="J11" s="6" t="n">
        <v>3</v>
      </c>
      <c r="K11" s="6" t="n">
        <v>3</v>
      </c>
      <c r="L11" s="6" t="n">
        <v>1</v>
      </c>
      <c r="M11" s="6" t="n">
        <v>0</v>
      </c>
      <c r="N11" s="6" t="n">
        <v>0</v>
      </c>
      <c r="O11" s="6" t="n">
        <v>1</v>
      </c>
      <c r="P11" s="6" t="n">
        <v>3</v>
      </c>
      <c r="Q11" s="6" t="n">
        <v>0</v>
      </c>
      <c r="R11" s="6" t="n">
        <v>6456</v>
      </c>
      <c r="S11" s="6" t="n">
        <v>1</v>
      </c>
      <c r="U11" s="7" t="n">
        <f aca="false">IF(E11&gt;0,B11/E11*1000,"")</f>
        <v>0.219587176108915</v>
      </c>
      <c r="V11" s="8" t="n">
        <f aca="false">IF(F11&gt;0,B11/F11,"")</f>
        <v>0.0266211604095563</v>
      </c>
      <c r="W11" s="8" t="n">
        <f aca="false">IF(B10&gt;0,B11/B10-1,"")</f>
        <v>-0.1875</v>
      </c>
      <c r="X11" s="7" t="n">
        <f aca="false">IF(G11&gt;0,B11/G11*1000,"")</f>
        <v>3.42435683554307</v>
      </c>
    </row>
    <row r="12" customFormat="false" ht="15" hidden="false" customHeight="false" outlineLevel="0" collapsed="false">
      <c r="A12" s="5" t="n">
        <v>2009</v>
      </c>
      <c r="B12" s="6" t="n">
        <v>57</v>
      </c>
      <c r="C12" s="6" t="n">
        <v>98</v>
      </c>
      <c r="D12" s="6" t="n">
        <v>51</v>
      </c>
      <c r="E12" s="6" t="n">
        <v>196445</v>
      </c>
      <c r="F12" s="6" t="n">
        <v>1694</v>
      </c>
      <c r="G12" s="6" t="n">
        <v>14269</v>
      </c>
      <c r="H12" s="6" t="n">
        <v>234345</v>
      </c>
      <c r="I12" s="6" t="n">
        <v>5126531</v>
      </c>
      <c r="J12" s="6" t="n">
        <v>3</v>
      </c>
      <c r="K12" s="6" t="n">
        <v>5</v>
      </c>
      <c r="L12" s="6" t="n">
        <v>0</v>
      </c>
      <c r="M12" s="6" t="n">
        <v>2</v>
      </c>
      <c r="N12" s="6" t="n">
        <v>5</v>
      </c>
      <c r="O12" s="6" t="n">
        <v>1</v>
      </c>
      <c r="P12" s="6" t="n">
        <v>2</v>
      </c>
      <c r="Q12" s="6" t="n">
        <v>0</v>
      </c>
      <c r="R12" s="6" t="n">
        <v>7275</v>
      </c>
      <c r="S12" s="6" t="n">
        <v>1</v>
      </c>
      <c r="U12" s="7" t="n">
        <f aca="false">IF(E12&gt;0,B12/E12*1000,"")</f>
        <v>0.290157550459416</v>
      </c>
      <c r="V12" s="8" t="n">
        <f aca="false">IF(F12&gt;0,B12/F12,"")</f>
        <v>0.0336481700118064</v>
      </c>
      <c r="W12" s="8" t="n">
        <f aca="false">IF(B11&gt;0,B12/B11-1,"")</f>
        <v>0.461538461538461</v>
      </c>
      <c r="X12" s="7" t="n">
        <f aca="false">IF(G12&gt;0,B12/G12*1000,"")</f>
        <v>3.99467376830892</v>
      </c>
    </row>
    <row r="13" customFormat="false" ht="15" hidden="false" customHeight="false" outlineLevel="0" collapsed="false">
      <c r="A13" s="5" t="n">
        <v>2010</v>
      </c>
      <c r="B13" s="6" t="n">
        <v>62</v>
      </c>
      <c r="C13" s="6" t="n">
        <v>100</v>
      </c>
      <c r="D13" s="6" t="n">
        <v>59</v>
      </c>
      <c r="E13" s="6" t="n">
        <v>214674</v>
      </c>
      <c r="F13" s="6" t="n">
        <v>1904</v>
      </c>
      <c r="G13" s="6" t="n">
        <v>15565</v>
      </c>
      <c r="H13" s="6" t="n">
        <v>245740</v>
      </c>
      <c r="I13" s="6" t="n">
        <v>5415093</v>
      </c>
      <c r="J13" s="6" t="n">
        <v>6</v>
      </c>
      <c r="K13" s="6" t="n">
        <v>9</v>
      </c>
      <c r="L13" s="6" t="n">
        <v>3</v>
      </c>
      <c r="M13" s="6" t="n">
        <v>2</v>
      </c>
      <c r="N13" s="6" t="n">
        <v>3</v>
      </c>
      <c r="O13" s="6" t="n">
        <v>2</v>
      </c>
      <c r="P13" s="6" t="n">
        <v>4</v>
      </c>
      <c r="Q13" s="6" t="n">
        <v>0</v>
      </c>
      <c r="R13" s="6" t="n">
        <v>7775</v>
      </c>
      <c r="S13" s="6" t="n">
        <v>1</v>
      </c>
      <c r="U13" s="7" t="n">
        <f aca="false">IF(E13&gt;0,B13/E13*1000,"")</f>
        <v>0.288810009595946</v>
      </c>
      <c r="V13" s="8" t="n">
        <f aca="false">IF(F13&gt;0,B13/F13,"")</f>
        <v>0.032563025210084</v>
      </c>
      <c r="W13" s="8" t="n">
        <f aca="false">IF(B12&gt;0,B13/B12-1,"")</f>
        <v>0.0877192982456141</v>
      </c>
      <c r="X13" s="7" t="n">
        <f aca="false">IF(G13&gt;0,B13/G13*1000,"")</f>
        <v>3.98329585608738</v>
      </c>
    </row>
    <row r="14" customFormat="false" ht="15" hidden="false" customHeight="false" outlineLevel="0" collapsed="false">
      <c r="A14" s="5" t="n">
        <v>2011</v>
      </c>
      <c r="B14" s="6" t="n">
        <v>80</v>
      </c>
      <c r="C14" s="6" t="n">
        <v>101</v>
      </c>
      <c r="D14" s="6" t="n">
        <v>71</v>
      </c>
      <c r="E14" s="6" t="n">
        <v>227506</v>
      </c>
      <c r="F14" s="6" t="n">
        <v>2194</v>
      </c>
      <c r="G14" s="6" t="n">
        <v>14532</v>
      </c>
      <c r="H14" s="6" t="n">
        <v>246035</v>
      </c>
      <c r="I14" s="6" t="n">
        <v>5684721</v>
      </c>
      <c r="J14" s="6" t="n">
        <v>2</v>
      </c>
      <c r="K14" s="6" t="n">
        <v>4</v>
      </c>
      <c r="L14" s="6" t="n">
        <v>0</v>
      </c>
      <c r="M14" s="6" t="n">
        <v>3</v>
      </c>
      <c r="N14" s="6" t="n">
        <v>4</v>
      </c>
      <c r="O14" s="6" t="n">
        <v>0</v>
      </c>
      <c r="P14" s="6" t="n">
        <v>8</v>
      </c>
      <c r="Q14" s="6" t="n">
        <v>0</v>
      </c>
      <c r="R14" s="6" t="n">
        <v>8367</v>
      </c>
      <c r="S14" s="6" t="n">
        <v>1</v>
      </c>
      <c r="U14" s="7" t="n">
        <f aca="false">IF(E14&gt;0,B14/E14*1000,"")</f>
        <v>0.351639077650699</v>
      </c>
      <c r="V14" s="8" t="n">
        <f aca="false">IF(F14&gt;0,B14/F14,"")</f>
        <v>0.0364630811303555</v>
      </c>
      <c r="W14" s="8" t="n">
        <f aca="false">IF(B13&gt;0,B14/B13-1,"")</f>
        <v>0.290322580645161</v>
      </c>
      <c r="X14" s="7" t="n">
        <f aca="false">IF(G14&gt;0,B14/G14*1000,"")</f>
        <v>5.50509221029452</v>
      </c>
    </row>
    <row r="15" customFormat="false" ht="15" hidden="false" customHeight="false" outlineLevel="0" collapsed="false">
      <c r="A15" s="5" t="n">
        <v>2012</v>
      </c>
      <c r="B15" s="6" t="n">
        <v>126</v>
      </c>
      <c r="C15" s="6" t="n">
        <v>174</v>
      </c>
      <c r="D15" s="6" t="n">
        <v>112</v>
      </c>
      <c r="E15" s="6" t="n">
        <v>244038</v>
      </c>
      <c r="F15" s="6" t="n">
        <v>2763</v>
      </c>
      <c r="G15" s="6" t="n">
        <v>15607</v>
      </c>
      <c r="H15" s="6" t="n">
        <v>258419</v>
      </c>
      <c r="I15" s="6" t="n">
        <v>5916987</v>
      </c>
      <c r="J15" s="6" t="n">
        <v>12</v>
      </c>
      <c r="K15" s="6" t="n">
        <v>11</v>
      </c>
      <c r="L15" s="6" t="n">
        <v>7</v>
      </c>
      <c r="M15" s="6" t="n">
        <v>10</v>
      </c>
      <c r="N15" s="6" t="n">
        <v>5</v>
      </c>
      <c r="O15" s="6" t="n">
        <v>6</v>
      </c>
      <c r="P15" s="6" t="n">
        <v>6</v>
      </c>
      <c r="Q15" s="6" t="n">
        <v>0</v>
      </c>
      <c r="R15" s="6" t="n">
        <v>8778</v>
      </c>
      <c r="S15" s="6" t="n">
        <v>1</v>
      </c>
      <c r="U15" s="7" t="n">
        <f aca="false">IF(E15&gt;0,B15/E15*1000,"")</f>
        <v>0.516313033216139</v>
      </c>
      <c r="V15" s="8" t="n">
        <f aca="false">IF(F15&gt;0,B15/F15,"")</f>
        <v>0.0456026058631922</v>
      </c>
      <c r="W15" s="8" t="n">
        <f aca="false">IF(B14&gt;0,B15/B14-1,"")</f>
        <v>0.575</v>
      </c>
      <c r="X15" s="7" t="n">
        <f aca="false">IF(G15&gt;0,B15/G15*1000,"")</f>
        <v>8.07330044210931</v>
      </c>
    </row>
    <row r="16" customFormat="false" ht="15" hidden="false" customHeight="false" outlineLevel="0" collapsed="false">
      <c r="A16" s="5" t="n">
        <v>2013</v>
      </c>
      <c r="B16" s="6" t="n">
        <v>171</v>
      </c>
      <c r="C16" s="6" t="n">
        <v>217</v>
      </c>
      <c r="D16" s="6" t="n">
        <v>141</v>
      </c>
      <c r="E16" s="6" t="n">
        <v>260384</v>
      </c>
      <c r="F16" s="6" t="n">
        <v>3478</v>
      </c>
      <c r="G16" s="6" t="n">
        <v>15892</v>
      </c>
      <c r="H16" s="6" t="n">
        <v>272783</v>
      </c>
      <c r="I16" s="6" t="n">
        <v>6187616</v>
      </c>
      <c r="J16" s="6" t="n">
        <v>15</v>
      </c>
      <c r="K16" s="6" t="n">
        <v>24</v>
      </c>
      <c r="L16" s="6" t="n">
        <v>16</v>
      </c>
      <c r="M16" s="6" t="n">
        <v>6</v>
      </c>
      <c r="N16" s="6" t="n">
        <v>7</v>
      </c>
      <c r="O16" s="6" t="n">
        <v>10</v>
      </c>
      <c r="P16" s="6" t="n">
        <v>13</v>
      </c>
      <c r="Q16" s="6" t="n">
        <v>1</v>
      </c>
      <c r="R16" s="6" t="n">
        <v>8803</v>
      </c>
      <c r="S16" s="6" t="n">
        <v>1</v>
      </c>
      <c r="U16" s="7" t="n">
        <f aca="false">IF(E16&gt;0,B16/E16*1000,"")</f>
        <v>0.656722379255254</v>
      </c>
      <c r="V16" s="8" t="n">
        <f aca="false">IF(F16&gt;0,B16/F16,"")</f>
        <v>0.0491661874640598</v>
      </c>
      <c r="W16" s="8" t="n">
        <f aca="false">IF(B15&gt;0,B16/B15-1,"")</f>
        <v>0.357142857142857</v>
      </c>
      <c r="X16" s="7" t="n">
        <f aca="false">IF(G16&gt;0,B16/G16*1000,"")</f>
        <v>10.7601308834634</v>
      </c>
    </row>
    <row r="17" customFormat="false" ht="15" hidden="false" customHeight="false" outlineLevel="0" collapsed="false">
      <c r="A17" s="5" t="n">
        <v>2014</v>
      </c>
      <c r="B17" s="6" t="n">
        <v>233</v>
      </c>
      <c r="C17" s="6" t="n">
        <v>277</v>
      </c>
      <c r="D17" s="6" t="n">
        <v>204</v>
      </c>
      <c r="E17" s="6" t="n">
        <v>270979</v>
      </c>
      <c r="F17" s="6" t="n">
        <v>3948</v>
      </c>
      <c r="G17" s="6" t="n">
        <v>17526</v>
      </c>
      <c r="H17" s="6" t="n">
        <v>284625</v>
      </c>
      <c r="I17" s="6" t="n">
        <v>6383216</v>
      </c>
      <c r="J17" s="6" t="n">
        <v>25</v>
      </c>
      <c r="K17" s="6" t="n">
        <v>25</v>
      </c>
      <c r="L17" s="6" t="n">
        <v>19</v>
      </c>
      <c r="M17" s="6" t="n">
        <v>21</v>
      </c>
      <c r="N17" s="6" t="n">
        <v>9</v>
      </c>
      <c r="O17" s="6" t="n">
        <v>6</v>
      </c>
      <c r="P17" s="6" t="n">
        <v>22</v>
      </c>
      <c r="Q17" s="6" t="n">
        <v>0</v>
      </c>
      <c r="R17" s="6" t="n">
        <v>9278</v>
      </c>
      <c r="S17" s="6" t="n">
        <v>1</v>
      </c>
      <c r="U17" s="7" t="n">
        <f aca="false">IF(E17&gt;0,B17/E17*1000,"")</f>
        <v>0.859845227858985</v>
      </c>
      <c r="V17" s="8" t="n">
        <f aca="false">IF(F17&gt;0,B17/F17,"")</f>
        <v>0.0590172239108409</v>
      </c>
      <c r="W17" s="8" t="n">
        <f aca="false">IF(B16&gt;0,B17/B16-1,"")</f>
        <v>0.362573099415205</v>
      </c>
      <c r="X17" s="7" t="n">
        <f aca="false">IF(G17&gt;0,B17/G17*1000,"")</f>
        <v>13.2945338354445</v>
      </c>
    </row>
    <row r="18" customFormat="false" ht="15" hidden="false" customHeight="false" outlineLevel="0" collapsed="false">
      <c r="A18" s="5" t="n">
        <v>2015</v>
      </c>
      <c r="B18" s="6" t="n">
        <v>309</v>
      </c>
      <c r="C18" s="6" t="n">
        <v>371</v>
      </c>
      <c r="D18" s="6" t="n">
        <v>275</v>
      </c>
      <c r="E18" s="6" t="n">
        <v>269400</v>
      </c>
      <c r="F18" s="6" t="n">
        <v>4811</v>
      </c>
      <c r="G18" s="6" t="n">
        <v>16967</v>
      </c>
      <c r="H18" s="6" t="n">
        <v>285055</v>
      </c>
      <c r="I18" s="6" t="n">
        <v>6450528</v>
      </c>
      <c r="J18" s="6" t="n">
        <v>42</v>
      </c>
      <c r="K18" s="6" t="n">
        <v>35</v>
      </c>
      <c r="L18" s="6" t="n">
        <v>18</v>
      </c>
      <c r="M18" s="6" t="n">
        <v>19</v>
      </c>
      <c r="N18" s="6" t="n">
        <v>22</v>
      </c>
      <c r="O18" s="6" t="n">
        <v>6</v>
      </c>
      <c r="P18" s="6" t="n">
        <v>25</v>
      </c>
      <c r="Q18" s="6" t="n">
        <v>0</v>
      </c>
      <c r="R18" s="6" t="n">
        <v>9386</v>
      </c>
      <c r="S18" s="6" t="n">
        <v>1</v>
      </c>
      <c r="U18" s="7" t="n">
        <f aca="false">IF(E18&gt;0,B18/E18*1000,"")</f>
        <v>1.14699331848552</v>
      </c>
      <c r="V18" s="8" t="n">
        <f aca="false">IF(F18&gt;0,B18/F18,"")</f>
        <v>0.0642278112658491</v>
      </c>
      <c r="W18" s="8" t="n">
        <f aca="false">IF(B17&gt;0,B18/B17-1,"")</f>
        <v>0.32618025751073</v>
      </c>
      <c r="X18" s="7" t="n">
        <f aca="false">IF(G18&gt;0,B18/G18*1000,"")</f>
        <v>18.2118229504332</v>
      </c>
    </row>
    <row r="19" customFormat="false" ht="15" hidden="false" customHeight="false" outlineLevel="0" collapsed="false">
      <c r="A19" s="5" t="n">
        <v>2016</v>
      </c>
      <c r="B19" s="6" t="n">
        <v>435</v>
      </c>
      <c r="C19" s="6" t="n">
        <v>498</v>
      </c>
      <c r="D19" s="6" t="n">
        <v>386</v>
      </c>
      <c r="E19" s="6" t="n">
        <v>264676</v>
      </c>
      <c r="F19" s="6" t="n">
        <v>5887</v>
      </c>
      <c r="G19" s="6" t="n">
        <v>16226</v>
      </c>
      <c r="H19" s="6" t="n">
        <v>279649</v>
      </c>
      <c r="I19" s="6" t="n">
        <v>6461027</v>
      </c>
      <c r="J19" s="6" t="n">
        <v>89</v>
      </c>
      <c r="K19" s="6" t="n">
        <v>62</v>
      </c>
      <c r="L19" s="6" t="n">
        <v>16</v>
      </c>
      <c r="M19" s="6" t="n">
        <v>38</v>
      </c>
      <c r="N19" s="6" t="n">
        <v>28</v>
      </c>
      <c r="O19" s="6" t="n">
        <v>27</v>
      </c>
      <c r="P19" s="6" t="n">
        <v>27</v>
      </c>
      <c r="Q19" s="6" t="n">
        <v>1</v>
      </c>
      <c r="R19" s="6" t="n">
        <v>10105</v>
      </c>
      <c r="S19" s="6" t="n">
        <v>1</v>
      </c>
      <c r="U19" s="7" t="n">
        <f aca="false">IF(E19&gt;0,B19/E19*1000,"")</f>
        <v>1.64351886835225</v>
      </c>
      <c r="V19" s="8" t="n">
        <f aca="false">IF(F19&gt;0,B19/F19,"")</f>
        <v>0.0738916256157636</v>
      </c>
      <c r="W19" s="8" t="n">
        <f aca="false">IF(B18&gt;0,B19/B18-1,"")</f>
        <v>0.407766990291262</v>
      </c>
      <c r="X19" s="7" t="n">
        <f aca="false">IF(G19&gt;0,B19/G19*1000,"")</f>
        <v>26.8088253420436</v>
      </c>
    </row>
    <row r="20" customFormat="false" ht="15" hidden="false" customHeight="false" outlineLevel="0" collapsed="false">
      <c r="A20" s="5" t="n">
        <v>2017</v>
      </c>
      <c r="B20" s="6" t="n">
        <v>585</v>
      </c>
      <c r="C20" s="6" t="n">
        <v>646</v>
      </c>
      <c r="D20" s="6" t="n">
        <v>518</v>
      </c>
      <c r="E20" s="6" t="n">
        <v>271504</v>
      </c>
      <c r="F20" s="6" t="n">
        <v>6516</v>
      </c>
      <c r="G20" s="6" t="n">
        <v>15879</v>
      </c>
      <c r="H20" s="6" t="n">
        <v>284760</v>
      </c>
      <c r="I20" s="6" t="n">
        <v>6145813</v>
      </c>
      <c r="J20" s="6" t="n">
        <v>104</v>
      </c>
      <c r="K20" s="6" t="n">
        <v>96</v>
      </c>
      <c r="L20" s="6" t="n">
        <v>35</v>
      </c>
      <c r="M20" s="6" t="n">
        <v>53</v>
      </c>
      <c r="N20" s="6" t="n">
        <v>36</v>
      </c>
      <c r="O20" s="6" t="n">
        <v>30</v>
      </c>
      <c r="P20" s="6" t="n">
        <v>26</v>
      </c>
      <c r="Q20" s="6" t="n">
        <v>1</v>
      </c>
      <c r="R20" s="6" t="n">
        <v>9870</v>
      </c>
      <c r="S20" s="6" t="n">
        <v>1</v>
      </c>
      <c r="U20" s="7" t="n">
        <f aca="false">IF(E20&gt;0,B20/E20*1000,"")</f>
        <v>2.15466438800165</v>
      </c>
      <c r="V20" s="8" t="n">
        <f aca="false">IF(F20&gt;0,B20/F20,"")</f>
        <v>0.0897790055248619</v>
      </c>
      <c r="W20" s="8" t="n">
        <f aca="false">IF(B19&gt;0,B20/B19-1,"")</f>
        <v>0.344827586206897</v>
      </c>
      <c r="X20" s="7" t="n">
        <f aca="false">IF(G20&gt;0,B20/G20*1000,"")</f>
        <v>36.8411109011903</v>
      </c>
    </row>
    <row r="21" customFormat="false" ht="15" hidden="false" customHeight="false" outlineLevel="0" collapsed="false">
      <c r="A21" s="5" t="n">
        <v>2018</v>
      </c>
      <c r="B21" s="6" t="n">
        <v>863</v>
      </c>
      <c r="C21" s="6" t="n">
        <v>928</v>
      </c>
      <c r="D21" s="6" t="n">
        <v>751</v>
      </c>
      <c r="E21" s="6" t="n">
        <v>286025</v>
      </c>
      <c r="F21" s="6" t="n">
        <v>8076</v>
      </c>
      <c r="G21" s="6" t="n">
        <v>17596</v>
      </c>
      <c r="H21" s="6" t="n">
        <v>284973</v>
      </c>
      <c r="I21" s="6" t="n">
        <v>5995254</v>
      </c>
      <c r="J21" s="6" t="n">
        <v>181</v>
      </c>
      <c r="K21" s="6" t="n">
        <v>154</v>
      </c>
      <c r="L21" s="6" t="n">
        <v>60</v>
      </c>
      <c r="M21" s="6" t="n">
        <v>82</v>
      </c>
      <c r="N21" s="6" t="n">
        <v>57</v>
      </c>
      <c r="O21" s="6" t="n">
        <v>43</v>
      </c>
      <c r="P21" s="6" t="n">
        <v>61</v>
      </c>
      <c r="Q21" s="6" t="n">
        <v>1</v>
      </c>
      <c r="R21" s="6" t="n">
        <v>10719</v>
      </c>
      <c r="S21" s="6" t="n">
        <v>1</v>
      </c>
      <c r="U21" s="7" t="n">
        <f aca="false">IF(E21&gt;0,B21/E21*1000,"")</f>
        <v>3.01721877458264</v>
      </c>
      <c r="V21" s="8" t="n">
        <f aca="false">IF(F21&gt;0,B21/F21,"")</f>
        <v>0.106859831599802</v>
      </c>
      <c r="W21" s="8" t="n">
        <f aca="false">IF(B20&gt;0,B21/B20-1,"")</f>
        <v>0.475213675213675</v>
      </c>
      <c r="X21" s="7" t="n">
        <f aca="false">IF(G21&gt;0,B21/G21*1000,"")</f>
        <v>49.0452375539895</v>
      </c>
    </row>
    <row r="22" customFormat="false" ht="15" hidden="false" customHeight="false" outlineLevel="0" collapsed="false">
      <c r="A22" s="5" t="n">
        <v>2019</v>
      </c>
      <c r="B22" s="6" t="n">
        <v>1077</v>
      </c>
      <c r="C22" s="6" t="n">
        <v>1147</v>
      </c>
      <c r="D22" s="6" t="n">
        <v>920</v>
      </c>
      <c r="E22" s="6" t="n">
        <v>305108</v>
      </c>
      <c r="F22" s="6" t="n">
        <v>9779</v>
      </c>
      <c r="G22" s="6" t="n">
        <v>17112</v>
      </c>
      <c r="H22" s="6" t="n">
        <v>291181</v>
      </c>
      <c r="I22" s="6" t="n">
        <v>6258798</v>
      </c>
      <c r="J22" s="6" t="n">
        <v>260</v>
      </c>
      <c r="K22" s="6" t="n">
        <v>195</v>
      </c>
      <c r="L22" s="6" t="n">
        <v>47</v>
      </c>
      <c r="M22" s="6" t="n">
        <v>96</v>
      </c>
      <c r="N22" s="6" t="n">
        <v>79</v>
      </c>
      <c r="O22" s="6" t="n">
        <v>61</v>
      </c>
      <c r="P22" s="6" t="n">
        <v>71</v>
      </c>
      <c r="Q22" s="6" t="n">
        <v>1</v>
      </c>
      <c r="R22" s="6" t="n">
        <v>10229</v>
      </c>
      <c r="S22" s="6" t="n">
        <v>1</v>
      </c>
      <c r="U22" s="7" t="n">
        <f aca="false">IF(E22&gt;0,B22/E22*1000,"")</f>
        <v>3.52989761002661</v>
      </c>
      <c r="V22" s="8" t="n">
        <f aca="false">IF(F22&gt;0,B22/F22,"")</f>
        <v>0.110133960527661</v>
      </c>
      <c r="W22" s="8" t="n">
        <f aca="false">IF(B21&gt;0,B22/B21-1,"")</f>
        <v>0.247972190034762</v>
      </c>
      <c r="X22" s="7" t="n">
        <f aca="false">IF(G22&gt;0,B22/G22*1000,"")</f>
        <v>62.9382889200561</v>
      </c>
    </row>
    <row r="23" customFormat="false" ht="15" hidden="false" customHeight="false" outlineLevel="0" collapsed="false">
      <c r="A23" s="5" t="n">
        <v>2020</v>
      </c>
      <c r="B23" s="6" t="n">
        <v>1417</v>
      </c>
      <c r="C23" s="6" t="n">
        <v>1495</v>
      </c>
      <c r="D23" s="6" t="n">
        <v>1190</v>
      </c>
      <c r="E23" s="6" t="n">
        <v>340933</v>
      </c>
      <c r="F23" s="6" t="n">
        <v>11394</v>
      </c>
      <c r="G23" s="6" t="n">
        <v>18730</v>
      </c>
      <c r="H23" s="6" t="n">
        <v>304361</v>
      </c>
      <c r="I23" s="6" t="n">
        <v>6602263</v>
      </c>
      <c r="J23" s="6" t="n">
        <v>338</v>
      </c>
      <c r="K23" s="6" t="n">
        <v>224</v>
      </c>
      <c r="L23" s="6" t="n">
        <v>64</v>
      </c>
      <c r="M23" s="6" t="n">
        <v>156</v>
      </c>
      <c r="N23" s="6" t="n">
        <v>106</v>
      </c>
      <c r="O23" s="6" t="n">
        <v>91</v>
      </c>
      <c r="P23" s="6" t="n">
        <v>88</v>
      </c>
      <c r="Q23" s="6" t="n">
        <v>3</v>
      </c>
      <c r="R23" s="6" t="n">
        <v>11037</v>
      </c>
      <c r="S23" s="6" t="n">
        <v>1</v>
      </c>
      <c r="U23" s="7" t="n">
        <f aca="false">IF(E23&gt;0,B23/E23*1000,"")</f>
        <v>4.1562418422388</v>
      </c>
      <c r="V23" s="8" t="n">
        <f aca="false">IF(F23&gt;0,B23/F23,"")</f>
        <v>0.124363700193084</v>
      </c>
      <c r="W23" s="8" t="n">
        <f aca="false">IF(B22&gt;0,B23/B22-1,"")</f>
        <v>0.31569173630455</v>
      </c>
      <c r="X23" s="7" t="n">
        <f aca="false">IF(G23&gt;0,B23/G23*1000,"")</f>
        <v>75.6540309663641</v>
      </c>
    </row>
    <row r="24" customFormat="false" ht="15" hidden="false" customHeight="false" outlineLevel="0" collapsed="false">
      <c r="A24" s="5" t="n">
        <v>2021</v>
      </c>
      <c r="B24" s="6" t="n">
        <v>1663</v>
      </c>
      <c r="C24" s="6" t="n">
        <v>1735</v>
      </c>
      <c r="D24" s="6" t="n">
        <v>1377</v>
      </c>
      <c r="E24" s="6" t="n">
        <v>347224</v>
      </c>
      <c r="F24" s="6" t="n">
        <v>12500</v>
      </c>
      <c r="G24" s="6" t="n">
        <v>17576</v>
      </c>
      <c r="H24" s="6" t="n">
        <v>287435</v>
      </c>
      <c r="I24" s="6" t="n">
        <v>6126873</v>
      </c>
      <c r="J24" s="6" t="n">
        <v>347</v>
      </c>
      <c r="K24" s="6" t="n">
        <v>303</v>
      </c>
      <c r="L24" s="6" t="n">
        <v>106</v>
      </c>
      <c r="M24" s="6" t="n">
        <v>170</v>
      </c>
      <c r="N24" s="6" t="n">
        <v>139</v>
      </c>
      <c r="O24" s="6" t="n">
        <v>84</v>
      </c>
      <c r="P24" s="6" t="n">
        <v>122</v>
      </c>
      <c r="Q24" s="6" t="n">
        <v>4</v>
      </c>
      <c r="R24" s="6" t="n">
        <v>11502</v>
      </c>
      <c r="S24" s="6" t="n">
        <v>1</v>
      </c>
      <c r="U24" s="7" t="n">
        <f aca="false">IF(E24&gt;0,B24/E24*1000,"")</f>
        <v>4.78941547819275</v>
      </c>
      <c r="V24" s="8" t="n">
        <f aca="false">IF(F24&gt;0,B24/F24,"")</f>
        <v>0.13304</v>
      </c>
      <c r="W24" s="8" t="n">
        <f aca="false">IF(B23&gt;0,B24/B23-1,"")</f>
        <v>0.173606210303458</v>
      </c>
      <c r="X24" s="7" t="n">
        <f aca="false">IF(G24&gt;0,B24/G24*1000,"")</f>
        <v>94.6176604460628</v>
      </c>
    </row>
    <row r="25" customFormat="false" ht="15" hidden="false" customHeight="false" outlineLevel="0" collapsed="false">
      <c r="A25" s="5" t="n">
        <v>2022</v>
      </c>
      <c r="B25" s="6" t="n">
        <v>1749</v>
      </c>
      <c r="C25" s="6" t="n">
        <v>1837</v>
      </c>
      <c r="D25" s="6" t="n">
        <v>1425</v>
      </c>
      <c r="E25" s="6" t="n">
        <v>345289</v>
      </c>
      <c r="F25" s="6" t="n">
        <v>13379</v>
      </c>
      <c r="G25" s="6" t="n">
        <v>16208</v>
      </c>
      <c r="H25" s="6" t="n">
        <v>268142</v>
      </c>
      <c r="I25" s="6" t="n">
        <v>5606541</v>
      </c>
      <c r="J25" s="6" t="n">
        <v>411</v>
      </c>
      <c r="K25" s="6" t="n">
        <v>295</v>
      </c>
      <c r="L25" s="6" t="n">
        <v>89</v>
      </c>
      <c r="M25" s="6" t="n">
        <v>183</v>
      </c>
      <c r="N25" s="6" t="n">
        <v>164</v>
      </c>
      <c r="O25" s="6" t="n">
        <v>116</v>
      </c>
      <c r="P25" s="6" t="n">
        <v>127</v>
      </c>
      <c r="Q25" s="6" t="n">
        <v>3</v>
      </c>
      <c r="R25" s="6" t="n">
        <v>11531</v>
      </c>
      <c r="S25" s="6" t="n">
        <v>1</v>
      </c>
      <c r="U25" s="7" t="n">
        <f aca="false">IF(E25&gt;0,B25/E25*1000,"")</f>
        <v>5.06532209250802</v>
      </c>
      <c r="V25" s="8" t="n">
        <f aca="false">IF(F25&gt;0,B25/F25,"")</f>
        <v>0.130727259137454</v>
      </c>
      <c r="W25" s="8" t="n">
        <f aca="false">IF(B24&gt;0,B25/B24-1,"")</f>
        <v>0.0517137702946482</v>
      </c>
      <c r="X25" s="7" t="n">
        <f aca="false">IF(G25&gt;0,B25/G25*1000,"")</f>
        <v>107.909674234946</v>
      </c>
    </row>
    <row r="26" customFormat="false" ht="15" hidden="false" customHeight="false" outlineLevel="0" collapsed="false">
      <c r="A26" s="5" t="n">
        <v>2023</v>
      </c>
      <c r="B26" s="6" t="n">
        <v>2132</v>
      </c>
      <c r="C26" s="6" t="n">
        <v>2234</v>
      </c>
      <c r="D26" s="6" t="n">
        <v>1734</v>
      </c>
      <c r="E26" s="6" t="n">
        <v>359946</v>
      </c>
      <c r="F26" s="6" t="n">
        <v>15001</v>
      </c>
      <c r="G26" s="6" t="n">
        <v>16475</v>
      </c>
      <c r="H26" s="6" t="n">
        <v>273628</v>
      </c>
      <c r="I26" s="6" t="n">
        <v>5743340</v>
      </c>
      <c r="J26" s="6" t="n">
        <v>499</v>
      </c>
      <c r="K26" s="6" t="n">
        <v>369</v>
      </c>
      <c r="L26" s="6" t="n">
        <v>113</v>
      </c>
      <c r="M26" s="6" t="n">
        <v>216</v>
      </c>
      <c r="N26" s="6" t="n">
        <v>233</v>
      </c>
      <c r="O26" s="6" t="n">
        <v>159</v>
      </c>
      <c r="P26" s="6" t="n">
        <v>145</v>
      </c>
      <c r="Q26" s="6" t="n">
        <v>6</v>
      </c>
      <c r="R26" s="6" t="n">
        <v>11643</v>
      </c>
      <c r="S26" s="6" t="n">
        <v>1</v>
      </c>
      <c r="U26" s="7" t="n">
        <f aca="false">IF(E26&gt;0,B26/E26*1000,"")</f>
        <v>5.92311068882555</v>
      </c>
      <c r="V26" s="8" t="n">
        <f aca="false">IF(F26&gt;0,B26/F26,"")</f>
        <v>0.142123858409439</v>
      </c>
      <c r="W26" s="8" t="n">
        <f aca="false">IF(B25&gt;0,B26/B25-1,"")</f>
        <v>0.218982275586049</v>
      </c>
      <c r="X26" s="7" t="n">
        <f aca="false">IF(G26&gt;0,B26/G26*1000,"")</f>
        <v>129.408194233687</v>
      </c>
    </row>
    <row r="27" customFormat="false" ht="15" hidden="false" customHeight="false" outlineLevel="0" collapsed="false">
      <c r="A27" s="5" t="n">
        <v>2024</v>
      </c>
      <c r="B27" s="6" t="n">
        <v>3012</v>
      </c>
      <c r="C27" s="6" t="n">
        <v>3118</v>
      </c>
      <c r="D27" s="6" t="n">
        <v>2455</v>
      </c>
      <c r="E27" s="6" t="n">
        <v>407400</v>
      </c>
      <c r="F27" s="6" t="n">
        <v>18611</v>
      </c>
      <c r="G27" s="6" t="n">
        <v>17688</v>
      </c>
      <c r="H27" s="6" t="n">
        <v>298315</v>
      </c>
      <c r="I27" s="6" t="n">
        <v>6073854</v>
      </c>
      <c r="J27" s="6" t="n">
        <v>686</v>
      </c>
      <c r="K27" s="6" t="n">
        <v>555</v>
      </c>
      <c r="L27" s="6" t="n">
        <v>176</v>
      </c>
      <c r="M27" s="6" t="n">
        <v>377</v>
      </c>
      <c r="N27" s="6" t="n">
        <v>329</v>
      </c>
      <c r="O27" s="6" t="n">
        <v>236</v>
      </c>
      <c r="P27" s="6" t="n">
        <v>181</v>
      </c>
      <c r="Q27" s="6" t="n">
        <v>3</v>
      </c>
      <c r="R27" s="6" t="n">
        <v>12081</v>
      </c>
      <c r="S27" s="6" t="n">
        <v>1</v>
      </c>
      <c r="U27" s="7" t="n">
        <f aca="false">IF(E27&gt;0,B27/E27*1000,"")</f>
        <v>7.39322533136966</v>
      </c>
      <c r="V27" s="8" t="n">
        <f aca="false">IF(F27&gt;0,B27/F27,"")</f>
        <v>0.161839772177744</v>
      </c>
      <c r="W27" s="8" t="n">
        <f aca="false">IF(B26&gt;0,B27/B26-1,"")</f>
        <v>0.412757973733584</v>
      </c>
      <c r="X27" s="7" t="n">
        <f aca="false">IF(G27&gt;0,B27/G27*1000,"")</f>
        <v>170.284938941655</v>
      </c>
    </row>
    <row r="28" customFormat="false" ht="15" hidden="false" customHeight="false" outlineLevel="0" collapsed="false">
      <c r="A28" s="5" t="n">
        <v>2025</v>
      </c>
      <c r="B28" s="6" t="n">
        <v>4381</v>
      </c>
      <c r="C28" s="6" t="n">
        <v>4525</v>
      </c>
      <c r="D28" s="6" t="n">
        <v>3529</v>
      </c>
      <c r="E28" s="6" t="n">
        <v>513368</v>
      </c>
      <c r="F28" s="6" t="n">
        <v>25662</v>
      </c>
      <c r="G28" s="6" t="n">
        <v>19750</v>
      </c>
      <c r="H28" s="6" t="n">
        <v>357159</v>
      </c>
      <c r="I28" s="6" t="n">
        <v>7188012</v>
      </c>
      <c r="J28" s="6" t="n">
        <v>1080</v>
      </c>
      <c r="K28" s="6" t="n">
        <v>740</v>
      </c>
      <c r="L28" s="6" t="n">
        <v>226</v>
      </c>
      <c r="M28" s="6" t="n">
        <v>618</v>
      </c>
      <c r="N28" s="6" t="n">
        <v>617</v>
      </c>
      <c r="O28" s="6" t="n">
        <v>372</v>
      </c>
      <c r="P28" s="6" t="n">
        <v>229</v>
      </c>
      <c r="Q28" s="6" t="n">
        <v>10</v>
      </c>
      <c r="R28" s="6" t="n">
        <v>13373</v>
      </c>
      <c r="S28" s="6" t="n">
        <v>1</v>
      </c>
      <c r="U28" s="7" t="n">
        <f aca="false">IF(E28&gt;0,B28/E28*1000,"")</f>
        <v>8.53383927319194</v>
      </c>
      <c r="V28" s="8" t="n">
        <f aca="false">IF(F28&gt;0,B28/F28,"")</f>
        <v>0.170719351570415</v>
      </c>
      <c r="W28" s="8" t="n">
        <f aca="false">IF(B27&gt;0,B28/B27-1,"")</f>
        <v>0.454515272244356</v>
      </c>
      <c r="X28" s="7" t="n">
        <f aca="false">IF(G28&gt;0,B28/G28*1000,"")</f>
        <v>221.822784810127</v>
      </c>
    </row>
    <row r="29" customFormat="false" ht="15" hidden="false" customHeight="false" outlineLevel="0" collapsed="false">
      <c r="A29" s="5" t="n">
        <v>2026</v>
      </c>
      <c r="B29" s="6" t="n">
        <v>3601</v>
      </c>
      <c r="C29" s="6" t="n">
        <v>3712</v>
      </c>
      <c r="D29" s="6" t="n">
        <v>2894</v>
      </c>
      <c r="E29" s="6" t="n">
        <v>416123</v>
      </c>
      <c r="F29" s="6" t="n">
        <v>20717</v>
      </c>
      <c r="G29" s="6" t="n">
        <v>12072</v>
      </c>
      <c r="H29" s="6" t="n">
        <v>256754</v>
      </c>
      <c r="I29" s="6" t="n">
        <v>5569632</v>
      </c>
      <c r="J29" s="6" t="n">
        <v>801</v>
      </c>
      <c r="K29" s="6" t="n">
        <v>547</v>
      </c>
      <c r="L29" s="6" t="n">
        <v>187</v>
      </c>
      <c r="M29" s="6" t="n">
        <v>506</v>
      </c>
      <c r="N29" s="6" t="n">
        <v>478</v>
      </c>
      <c r="O29" s="6" t="n">
        <v>319</v>
      </c>
      <c r="P29" s="6" t="n">
        <v>196</v>
      </c>
      <c r="Q29" s="6" t="n">
        <v>0</v>
      </c>
      <c r="R29" s="6" t="n">
        <v>0</v>
      </c>
      <c r="S29" s="6" t="n">
        <v>0</v>
      </c>
      <c r="U29" s="7" t="n">
        <f aca="false">IF(E29&gt;0,B29/E29*1000,"")</f>
        <v>8.65369133645581</v>
      </c>
      <c r="V29" s="8" t="n">
        <f aca="false">IF(F29&gt;0,B29/F29,"")</f>
        <v>0.173818603079596</v>
      </c>
      <c r="W29" s="8" t="n">
        <f aca="false">IF(B28&gt;0,B29/B28-1,"")</f>
        <v>-0.178041543026706</v>
      </c>
      <c r="X29" s="7" t="n">
        <f aca="false">IF(G29&gt;0,B29/G29*1000,"")</f>
        <v>298.293571901922</v>
      </c>
    </row>
    <row r="31" customFormat="false" ht="15" hidden="false" customHeight="false" outlineLevel="0" collapsed="false">
      <c r="A31" s="9" t="s">
        <v>44</v>
      </c>
    </row>
    <row r="32" customFormat="false" ht="15" hidden="false" customHeight="false" outlineLevel="0" collapsed="false">
      <c r="A32" s="2" t="s">
        <v>45</v>
      </c>
      <c r="B32" s="10" t="n">
        <f aca="false">SUM(B8:B28)</f>
        <v>18506</v>
      </c>
    </row>
    <row r="33" customFormat="false" ht="15" hidden="false" customHeight="false" outlineLevel="0" collapsed="false">
      <c r="A33" s="2" t="s">
        <v>46</v>
      </c>
      <c r="B33" s="8" t="n">
        <f aca="false">(B28/B8)^(1/20)-1</f>
        <v>0.285164624883654</v>
      </c>
    </row>
    <row r="34" customFormat="false" ht="15" hidden="false" customHeight="false" outlineLevel="0" collapsed="false">
      <c r="A34" s="2" t="s">
        <v>47</v>
      </c>
      <c r="B34" s="8" t="n">
        <f aca="false">(B28/B18)^(1/10)-1</f>
        <v>0.30365140601619</v>
      </c>
    </row>
    <row r="35" customFormat="false" ht="15" hidden="false" customHeight="false" outlineLevel="0" collapsed="false">
      <c r="A35" s="2" t="s">
        <v>48</v>
      </c>
      <c r="B35" s="7" t="n">
        <f aca="false">U8</f>
        <v>0.207250923695927</v>
      </c>
    </row>
    <row r="36" customFormat="false" ht="15" hidden="false" customHeight="false" outlineLevel="0" collapsed="false">
      <c r="A36" s="2" t="s">
        <v>49</v>
      </c>
      <c r="B36" s="7" t="n">
        <f aca="false">U28</f>
        <v>8.53383927319194</v>
      </c>
    </row>
    <row r="38" customFormat="false" ht="15" hidden="false" customHeight="false" outlineLevel="0" collapsed="false">
      <c r="A38" s="11"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8"/>
    <col collapsed="false" customWidth="true" hidden="false" outlineLevel="0" max="3" min="3" style="0" width="12"/>
  </cols>
  <sheetData>
    <row r="1" customFormat="false" ht="15" hidden="false" customHeight="false" outlineLevel="0" collapsed="false">
      <c r="A1" s="3" t="s">
        <v>51</v>
      </c>
      <c r="B1" s="3" t="s">
        <v>14</v>
      </c>
      <c r="C1" s="3" t="s">
        <v>52</v>
      </c>
    </row>
    <row r="2" customFormat="false" ht="15" hidden="false" customHeight="false" outlineLevel="0" collapsed="false">
      <c r="A2" s="12" t="s">
        <v>16</v>
      </c>
      <c r="B2" s="12" t="n">
        <v>2000</v>
      </c>
      <c r="C2" s="6" t="n">
        <v>44</v>
      </c>
    </row>
    <row r="3" customFormat="false" ht="15" hidden="false" customHeight="false" outlineLevel="0" collapsed="false">
      <c r="A3" s="12" t="s">
        <v>16</v>
      </c>
      <c r="B3" s="12" t="n">
        <v>2001</v>
      </c>
      <c r="C3" s="6" t="n">
        <v>55</v>
      </c>
    </row>
    <row r="4" customFormat="false" ht="15" hidden="false" customHeight="false" outlineLevel="0" collapsed="false">
      <c r="A4" s="12" t="s">
        <v>16</v>
      </c>
      <c r="B4" s="12" t="n">
        <v>2002</v>
      </c>
      <c r="C4" s="6" t="n">
        <v>48</v>
      </c>
    </row>
    <row r="5" customFormat="false" ht="15" hidden="false" customHeight="false" outlineLevel="0" collapsed="false">
      <c r="A5" s="12" t="s">
        <v>16</v>
      </c>
      <c r="B5" s="12" t="n">
        <v>2003</v>
      </c>
      <c r="C5" s="6" t="n">
        <v>43</v>
      </c>
    </row>
    <row r="6" customFormat="false" ht="15" hidden="false" customHeight="false" outlineLevel="0" collapsed="false">
      <c r="A6" s="12" t="s">
        <v>16</v>
      </c>
      <c r="B6" s="12" t="n">
        <v>2004</v>
      </c>
      <c r="C6" s="6" t="n">
        <v>77</v>
      </c>
    </row>
    <row r="7" customFormat="false" ht="15" hidden="false" customHeight="false" outlineLevel="0" collapsed="false">
      <c r="A7" s="12" t="s">
        <v>16</v>
      </c>
      <c r="B7" s="12" t="n">
        <v>2005</v>
      </c>
      <c r="C7" s="6" t="n">
        <v>45</v>
      </c>
    </row>
    <row r="8" customFormat="false" ht="15" hidden="false" customHeight="false" outlineLevel="0" collapsed="false">
      <c r="A8" s="12" t="s">
        <v>16</v>
      </c>
      <c r="B8" s="12" t="n">
        <v>2006</v>
      </c>
      <c r="C8" s="6" t="n">
        <v>61</v>
      </c>
    </row>
    <row r="9" customFormat="false" ht="15" hidden="false" customHeight="false" outlineLevel="0" collapsed="false">
      <c r="A9" s="12" t="s">
        <v>16</v>
      </c>
      <c r="B9" s="12" t="n">
        <v>2007</v>
      </c>
      <c r="C9" s="6" t="n">
        <v>68</v>
      </c>
    </row>
    <row r="10" customFormat="false" ht="15" hidden="false" customHeight="false" outlineLevel="0" collapsed="false">
      <c r="A10" s="12" t="s">
        <v>16</v>
      </c>
      <c r="B10" s="12" t="n">
        <v>2008</v>
      </c>
      <c r="C10" s="6" t="n">
        <v>65</v>
      </c>
    </row>
    <row r="11" customFormat="false" ht="15" hidden="false" customHeight="false" outlineLevel="0" collapsed="false">
      <c r="A11" s="12" t="s">
        <v>16</v>
      </c>
      <c r="B11" s="12" t="n">
        <v>2009</v>
      </c>
      <c r="C11" s="6" t="n">
        <v>98</v>
      </c>
    </row>
    <row r="12" customFormat="false" ht="15" hidden="false" customHeight="false" outlineLevel="0" collapsed="false">
      <c r="A12" s="12" t="s">
        <v>16</v>
      </c>
      <c r="B12" s="12" t="n">
        <v>2010</v>
      </c>
      <c r="C12" s="6" t="n">
        <v>100</v>
      </c>
    </row>
    <row r="13" customFormat="false" ht="15" hidden="false" customHeight="false" outlineLevel="0" collapsed="false">
      <c r="A13" s="12" t="s">
        <v>16</v>
      </c>
      <c r="B13" s="12" t="n">
        <v>2011</v>
      </c>
      <c r="C13" s="6" t="n">
        <v>101</v>
      </c>
    </row>
    <row r="14" customFormat="false" ht="15" hidden="false" customHeight="false" outlineLevel="0" collapsed="false">
      <c r="A14" s="12" t="s">
        <v>16</v>
      </c>
      <c r="B14" s="12" t="n">
        <v>2012</v>
      </c>
      <c r="C14" s="6" t="n">
        <v>174</v>
      </c>
    </row>
    <row r="15" customFormat="false" ht="15" hidden="false" customHeight="false" outlineLevel="0" collapsed="false">
      <c r="A15" s="12" t="s">
        <v>16</v>
      </c>
      <c r="B15" s="12" t="n">
        <v>2013</v>
      </c>
      <c r="C15" s="6" t="n">
        <v>217</v>
      </c>
    </row>
    <row r="16" customFormat="false" ht="15" hidden="false" customHeight="false" outlineLevel="0" collapsed="false">
      <c r="A16" s="12" t="s">
        <v>16</v>
      </c>
      <c r="B16" s="12" t="n">
        <v>2014</v>
      </c>
      <c r="C16" s="6" t="n">
        <v>277</v>
      </c>
    </row>
    <row r="17" customFormat="false" ht="15" hidden="false" customHeight="false" outlineLevel="0" collapsed="false">
      <c r="A17" s="12" t="s">
        <v>16</v>
      </c>
      <c r="B17" s="12" t="n">
        <v>2015</v>
      </c>
      <c r="C17" s="6" t="n">
        <v>371</v>
      </c>
    </row>
    <row r="18" customFormat="false" ht="15" hidden="false" customHeight="false" outlineLevel="0" collapsed="false">
      <c r="A18" s="12" t="s">
        <v>16</v>
      </c>
      <c r="B18" s="12" t="n">
        <v>2016</v>
      </c>
      <c r="C18" s="6" t="n">
        <v>498</v>
      </c>
    </row>
    <row r="19" customFormat="false" ht="15" hidden="false" customHeight="false" outlineLevel="0" collapsed="false">
      <c r="A19" s="12" t="s">
        <v>16</v>
      </c>
      <c r="B19" s="12" t="n">
        <v>2017</v>
      </c>
      <c r="C19" s="6" t="n">
        <v>646</v>
      </c>
    </row>
    <row r="20" customFormat="false" ht="15" hidden="false" customHeight="false" outlineLevel="0" collapsed="false">
      <c r="A20" s="12" t="s">
        <v>16</v>
      </c>
      <c r="B20" s="12" t="n">
        <v>2018</v>
      </c>
      <c r="C20" s="6" t="n">
        <v>928</v>
      </c>
    </row>
    <row r="21" customFormat="false" ht="15" hidden="false" customHeight="false" outlineLevel="0" collapsed="false">
      <c r="A21" s="12" t="s">
        <v>16</v>
      </c>
      <c r="B21" s="12" t="n">
        <v>2019</v>
      </c>
      <c r="C21" s="6" t="n">
        <v>1147</v>
      </c>
    </row>
    <row r="22" customFormat="false" ht="15" hidden="false" customHeight="false" outlineLevel="0" collapsed="false">
      <c r="A22" s="12" t="s">
        <v>16</v>
      </c>
      <c r="B22" s="12" t="n">
        <v>2020</v>
      </c>
      <c r="C22" s="6" t="n">
        <v>1495</v>
      </c>
    </row>
    <row r="23" customFormat="false" ht="15" hidden="false" customHeight="false" outlineLevel="0" collapsed="false">
      <c r="A23" s="12" t="s">
        <v>16</v>
      </c>
      <c r="B23" s="12" t="n">
        <v>2021</v>
      </c>
      <c r="C23" s="6" t="n">
        <v>1735</v>
      </c>
    </row>
    <row r="24" customFormat="false" ht="15" hidden="false" customHeight="false" outlineLevel="0" collapsed="false">
      <c r="A24" s="12" t="s">
        <v>16</v>
      </c>
      <c r="B24" s="12" t="n">
        <v>2022</v>
      </c>
      <c r="C24" s="6" t="n">
        <v>1837</v>
      </c>
    </row>
    <row r="25" customFormat="false" ht="15" hidden="false" customHeight="false" outlineLevel="0" collapsed="false">
      <c r="A25" s="12" t="s">
        <v>16</v>
      </c>
      <c r="B25" s="12" t="n">
        <v>2023</v>
      </c>
      <c r="C25" s="6" t="n">
        <v>2234</v>
      </c>
    </row>
    <row r="26" customFormat="false" ht="15" hidden="false" customHeight="false" outlineLevel="0" collapsed="false">
      <c r="A26" s="12" t="s">
        <v>16</v>
      </c>
      <c r="B26" s="12" t="n">
        <v>2024</v>
      </c>
      <c r="C26" s="6" t="n">
        <v>3118</v>
      </c>
    </row>
    <row r="27" customFormat="false" ht="15" hidden="false" customHeight="false" outlineLevel="0" collapsed="false">
      <c r="A27" s="12" t="s">
        <v>16</v>
      </c>
      <c r="B27" s="12" t="n">
        <v>2025</v>
      </c>
      <c r="C27" s="6" t="n">
        <v>4525</v>
      </c>
    </row>
    <row r="28" customFormat="false" ht="15" hidden="false" customHeight="false" outlineLevel="0" collapsed="false">
      <c r="A28" s="12" t="s">
        <v>16</v>
      </c>
      <c r="B28" s="12" t="n">
        <v>2026</v>
      </c>
      <c r="C28" s="6" t="n">
        <v>3712</v>
      </c>
    </row>
    <row r="29" customFormat="false" ht="15" hidden="false" customHeight="false" outlineLevel="0" collapsed="false">
      <c r="A29" s="12" t="s">
        <v>53</v>
      </c>
      <c r="B29" s="12" t="n">
        <v>2000</v>
      </c>
      <c r="C29" s="6" t="n">
        <v>41</v>
      </c>
    </row>
    <row r="30" customFormat="false" ht="15" hidden="false" customHeight="false" outlineLevel="0" collapsed="false">
      <c r="A30" s="12" t="s">
        <v>53</v>
      </c>
      <c r="B30" s="12" t="n">
        <v>2001</v>
      </c>
      <c r="C30" s="6" t="n">
        <v>51</v>
      </c>
    </row>
    <row r="31" customFormat="false" ht="15" hidden="false" customHeight="false" outlineLevel="0" collapsed="false">
      <c r="A31" s="12" t="s">
        <v>53</v>
      </c>
      <c r="B31" s="12" t="n">
        <v>2002</v>
      </c>
      <c r="C31" s="6" t="n">
        <v>44</v>
      </c>
    </row>
    <row r="32" customFormat="false" ht="15" hidden="false" customHeight="false" outlineLevel="0" collapsed="false">
      <c r="A32" s="12" t="s">
        <v>53</v>
      </c>
      <c r="B32" s="12" t="n">
        <v>2003</v>
      </c>
      <c r="C32" s="6" t="n">
        <v>41</v>
      </c>
    </row>
    <row r="33" customFormat="false" ht="15" hidden="false" customHeight="false" outlineLevel="0" collapsed="false">
      <c r="A33" s="12" t="s">
        <v>53</v>
      </c>
      <c r="B33" s="12" t="n">
        <v>2004</v>
      </c>
      <c r="C33" s="6" t="n">
        <v>75</v>
      </c>
    </row>
    <row r="34" customFormat="false" ht="15" hidden="false" customHeight="false" outlineLevel="0" collapsed="false">
      <c r="A34" s="12" t="s">
        <v>53</v>
      </c>
      <c r="B34" s="12" t="n">
        <v>2005</v>
      </c>
      <c r="C34" s="6" t="n">
        <v>42</v>
      </c>
    </row>
    <row r="35" customFormat="false" ht="15" hidden="false" customHeight="false" outlineLevel="0" collapsed="false">
      <c r="A35" s="12" t="s">
        <v>53</v>
      </c>
      <c r="B35" s="12" t="n">
        <v>2006</v>
      </c>
      <c r="C35" s="6" t="n">
        <v>60</v>
      </c>
    </row>
    <row r="36" customFormat="false" ht="15" hidden="false" customHeight="false" outlineLevel="0" collapsed="false">
      <c r="A36" s="12" t="s">
        <v>53</v>
      </c>
      <c r="B36" s="12" t="n">
        <v>2007</v>
      </c>
      <c r="C36" s="6" t="n">
        <v>66</v>
      </c>
    </row>
    <row r="37" customFormat="false" ht="15" hidden="false" customHeight="false" outlineLevel="0" collapsed="false">
      <c r="A37" s="12" t="s">
        <v>53</v>
      </c>
      <c r="B37" s="12" t="n">
        <v>2008</v>
      </c>
      <c r="C37" s="6" t="n">
        <v>62</v>
      </c>
    </row>
    <row r="38" customFormat="false" ht="15" hidden="false" customHeight="false" outlineLevel="0" collapsed="false">
      <c r="A38" s="12" t="s">
        <v>53</v>
      </c>
      <c r="B38" s="12" t="n">
        <v>2009</v>
      </c>
      <c r="C38" s="6" t="n">
        <v>90</v>
      </c>
    </row>
    <row r="39" customFormat="false" ht="15" hidden="false" customHeight="false" outlineLevel="0" collapsed="false">
      <c r="A39" s="12" t="s">
        <v>53</v>
      </c>
      <c r="B39" s="12" t="n">
        <v>2010</v>
      </c>
      <c r="C39" s="6" t="n">
        <v>96</v>
      </c>
    </row>
    <row r="40" customFormat="false" ht="15" hidden="false" customHeight="false" outlineLevel="0" collapsed="false">
      <c r="A40" s="12" t="s">
        <v>53</v>
      </c>
      <c r="B40" s="12" t="n">
        <v>2011</v>
      </c>
      <c r="C40" s="6" t="n">
        <v>91</v>
      </c>
    </row>
    <row r="41" customFormat="false" ht="15" hidden="false" customHeight="false" outlineLevel="0" collapsed="false">
      <c r="A41" s="12" t="s">
        <v>53</v>
      </c>
      <c r="B41" s="12" t="n">
        <v>2012</v>
      </c>
      <c r="C41" s="6" t="n">
        <v>157</v>
      </c>
    </row>
    <row r="42" customFormat="false" ht="15" hidden="false" customHeight="false" outlineLevel="0" collapsed="false">
      <c r="A42" s="12" t="s">
        <v>53</v>
      </c>
      <c r="B42" s="12" t="n">
        <v>2013</v>
      </c>
      <c r="C42" s="6" t="n">
        <v>187</v>
      </c>
    </row>
    <row r="43" customFormat="false" ht="15" hidden="false" customHeight="false" outlineLevel="0" collapsed="false">
      <c r="A43" s="12" t="s">
        <v>53</v>
      </c>
      <c r="B43" s="12" t="n">
        <v>2014</v>
      </c>
      <c r="C43" s="6" t="n">
        <v>244</v>
      </c>
    </row>
    <row r="44" customFormat="false" ht="15" hidden="false" customHeight="false" outlineLevel="0" collapsed="false">
      <c r="A44" s="12" t="s">
        <v>53</v>
      </c>
      <c r="B44" s="12" t="n">
        <v>2015</v>
      </c>
      <c r="C44" s="6" t="n">
        <v>333</v>
      </c>
    </row>
    <row r="45" customFormat="false" ht="15" hidden="false" customHeight="false" outlineLevel="0" collapsed="false">
      <c r="A45" s="12" t="s">
        <v>53</v>
      </c>
      <c r="B45" s="12" t="n">
        <v>2016</v>
      </c>
      <c r="C45" s="6" t="n">
        <v>443</v>
      </c>
    </row>
    <row r="46" customFormat="false" ht="15" hidden="false" customHeight="false" outlineLevel="0" collapsed="false">
      <c r="A46" s="12" t="s">
        <v>53</v>
      </c>
      <c r="B46" s="12" t="n">
        <v>2017</v>
      </c>
      <c r="C46" s="6" t="n">
        <v>578</v>
      </c>
    </row>
    <row r="47" customFormat="false" ht="15" hidden="false" customHeight="false" outlineLevel="0" collapsed="false">
      <c r="A47" s="12" t="s">
        <v>53</v>
      </c>
      <c r="B47" s="12" t="n">
        <v>2018</v>
      </c>
      <c r="C47" s="6" t="n">
        <v>810</v>
      </c>
    </row>
    <row r="48" customFormat="false" ht="15" hidden="false" customHeight="false" outlineLevel="0" collapsed="false">
      <c r="A48" s="12" t="s">
        <v>53</v>
      </c>
      <c r="B48" s="12" t="n">
        <v>2019</v>
      </c>
      <c r="C48" s="6" t="n">
        <v>983</v>
      </c>
    </row>
    <row r="49" customFormat="false" ht="15" hidden="false" customHeight="false" outlineLevel="0" collapsed="false">
      <c r="A49" s="12" t="s">
        <v>53</v>
      </c>
      <c r="B49" s="12" t="n">
        <v>2020</v>
      </c>
      <c r="C49" s="6" t="n">
        <v>1262</v>
      </c>
    </row>
    <row r="50" customFormat="false" ht="15" hidden="false" customHeight="false" outlineLevel="0" collapsed="false">
      <c r="A50" s="12" t="s">
        <v>53</v>
      </c>
      <c r="B50" s="12" t="n">
        <v>2021</v>
      </c>
      <c r="C50" s="6" t="n">
        <v>1437</v>
      </c>
    </row>
    <row r="51" customFormat="false" ht="15" hidden="false" customHeight="false" outlineLevel="0" collapsed="false">
      <c r="A51" s="12" t="s">
        <v>53</v>
      </c>
      <c r="B51" s="12" t="n">
        <v>2022</v>
      </c>
      <c r="C51" s="6" t="n">
        <v>1506</v>
      </c>
    </row>
    <row r="52" customFormat="false" ht="15" hidden="false" customHeight="false" outlineLevel="0" collapsed="false">
      <c r="A52" s="12" t="s">
        <v>53</v>
      </c>
      <c r="B52" s="12" t="n">
        <v>2023</v>
      </c>
      <c r="C52" s="6" t="n">
        <v>1819</v>
      </c>
    </row>
    <row r="53" customFormat="false" ht="15" hidden="false" customHeight="false" outlineLevel="0" collapsed="false">
      <c r="A53" s="12" t="s">
        <v>53</v>
      </c>
      <c r="B53" s="12" t="n">
        <v>2024</v>
      </c>
      <c r="C53" s="6" t="n">
        <v>2547</v>
      </c>
    </row>
    <row r="54" customFormat="false" ht="15" hidden="false" customHeight="false" outlineLevel="0" collapsed="false">
      <c r="A54" s="12" t="s">
        <v>53</v>
      </c>
      <c r="B54" s="12" t="n">
        <v>2025</v>
      </c>
      <c r="C54" s="6" t="n">
        <v>3651</v>
      </c>
    </row>
    <row r="55" customFormat="false" ht="15" hidden="false" customHeight="false" outlineLevel="0" collapsed="false">
      <c r="A55" s="12" t="s">
        <v>53</v>
      </c>
      <c r="B55" s="12" t="n">
        <v>2026</v>
      </c>
      <c r="C55" s="6" t="n">
        <v>2985</v>
      </c>
    </row>
    <row r="56" customFormat="false" ht="15" hidden="false" customHeight="false" outlineLevel="0" collapsed="false">
      <c r="A56" s="12" t="s">
        <v>18</v>
      </c>
      <c r="B56" s="12" t="n">
        <v>2000</v>
      </c>
      <c r="C56" s="6" t="n">
        <v>100293</v>
      </c>
    </row>
    <row r="57" customFormat="false" ht="15" hidden="false" customHeight="false" outlineLevel="0" collapsed="false">
      <c r="A57" s="12" t="s">
        <v>18</v>
      </c>
      <c r="B57" s="12" t="n">
        <v>2001</v>
      </c>
      <c r="C57" s="6" t="n">
        <v>98383</v>
      </c>
    </row>
    <row r="58" customFormat="false" ht="15" hidden="false" customHeight="false" outlineLevel="0" collapsed="false">
      <c r="A58" s="12" t="s">
        <v>18</v>
      </c>
      <c r="B58" s="12" t="n">
        <v>2002</v>
      </c>
      <c r="C58" s="6" t="n">
        <v>107252</v>
      </c>
    </row>
    <row r="59" customFormat="false" ht="15" hidden="false" customHeight="false" outlineLevel="0" collapsed="false">
      <c r="A59" s="12" t="s">
        <v>18</v>
      </c>
      <c r="B59" s="12" t="n">
        <v>2003</v>
      </c>
      <c r="C59" s="6" t="n">
        <v>116807</v>
      </c>
    </row>
    <row r="60" customFormat="false" ht="15" hidden="false" customHeight="false" outlineLevel="0" collapsed="false">
      <c r="A60" s="12" t="s">
        <v>18</v>
      </c>
      <c r="B60" s="12" t="n">
        <v>2004</v>
      </c>
      <c r="C60" s="6" t="n">
        <v>128208</v>
      </c>
    </row>
    <row r="61" customFormat="false" ht="15" hidden="false" customHeight="false" outlineLevel="0" collapsed="false">
      <c r="A61" s="12" t="s">
        <v>18</v>
      </c>
      <c r="B61" s="12" t="n">
        <v>2005</v>
      </c>
      <c r="C61" s="6" t="n">
        <v>139927</v>
      </c>
    </row>
    <row r="62" customFormat="false" ht="15" hidden="false" customHeight="false" outlineLevel="0" collapsed="false">
      <c r="A62" s="12" t="s">
        <v>18</v>
      </c>
      <c r="B62" s="12" t="n">
        <v>2006</v>
      </c>
      <c r="C62" s="6" t="n">
        <v>151174</v>
      </c>
    </row>
    <row r="63" customFormat="false" ht="15" hidden="false" customHeight="false" outlineLevel="0" collapsed="false">
      <c r="A63" s="12" t="s">
        <v>18</v>
      </c>
      <c r="B63" s="12" t="n">
        <v>2007</v>
      </c>
      <c r="C63" s="6" t="n">
        <v>161425</v>
      </c>
    </row>
    <row r="64" customFormat="false" ht="15" hidden="false" customHeight="false" outlineLevel="0" collapsed="false">
      <c r="A64" s="12" t="s">
        <v>18</v>
      </c>
      <c r="B64" s="12" t="n">
        <v>2008</v>
      </c>
      <c r="C64" s="6" t="n">
        <v>177606</v>
      </c>
    </row>
    <row r="65" customFormat="false" ht="15" hidden="false" customHeight="false" outlineLevel="0" collapsed="false">
      <c r="A65" s="12" t="s">
        <v>18</v>
      </c>
      <c r="B65" s="12" t="n">
        <v>2009</v>
      </c>
      <c r="C65" s="6" t="n">
        <v>196445</v>
      </c>
    </row>
    <row r="66" customFormat="false" ht="15" hidden="false" customHeight="false" outlineLevel="0" collapsed="false">
      <c r="A66" s="12" t="s">
        <v>18</v>
      </c>
      <c r="B66" s="12" t="n">
        <v>2010</v>
      </c>
      <c r="C66" s="6" t="n">
        <v>214674</v>
      </c>
    </row>
    <row r="67" customFormat="false" ht="15" hidden="false" customHeight="false" outlineLevel="0" collapsed="false">
      <c r="A67" s="12" t="s">
        <v>18</v>
      </c>
      <c r="B67" s="12" t="n">
        <v>2011</v>
      </c>
      <c r="C67" s="6" t="n">
        <v>227506</v>
      </c>
    </row>
    <row r="68" customFormat="false" ht="15" hidden="false" customHeight="false" outlineLevel="0" collapsed="false">
      <c r="A68" s="12" t="s">
        <v>18</v>
      </c>
      <c r="B68" s="12" t="n">
        <v>2012</v>
      </c>
      <c r="C68" s="6" t="n">
        <v>244038</v>
      </c>
    </row>
    <row r="69" customFormat="false" ht="15" hidden="false" customHeight="false" outlineLevel="0" collapsed="false">
      <c r="A69" s="12" t="s">
        <v>18</v>
      </c>
      <c r="B69" s="12" t="n">
        <v>2013</v>
      </c>
      <c r="C69" s="6" t="n">
        <v>260384</v>
      </c>
    </row>
    <row r="70" customFormat="false" ht="15" hidden="false" customHeight="false" outlineLevel="0" collapsed="false">
      <c r="A70" s="12" t="s">
        <v>18</v>
      </c>
      <c r="B70" s="12" t="n">
        <v>2014</v>
      </c>
      <c r="C70" s="6" t="n">
        <v>270979</v>
      </c>
    </row>
    <row r="71" customFormat="false" ht="15" hidden="false" customHeight="false" outlineLevel="0" collapsed="false">
      <c r="A71" s="12" t="s">
        <v>18</v>
      </c>
      <c r="B71" s="12" t="n">
        <v>2015</v>
      </c>
      <c r="C71" s="6" t="n">
        <v>269400</v>
      </c>
    </row>
    <row r="72" customFormat="false" ht="15" hidden="false" customHeight="false" outlineLevel="0" collapsed="false">
      <c r="A72" s="12" t="s">
        <v>18</v>
      </c>
      <c r="B72" s="12" t="n">
        <v>2016</v>
      </c>
      <c r="C72" s="6" t="n">
        <v>264676</v>
      </c>
    </row>
    <row r="73" customFormat="false" ht="15" hidden="false" customHeight="false" outlineLevel="0" collapsed="false">
      <c r="A73" s="12" t="s">
        <v>18</v>
      </c>
      <c r="B73" s="12" t="n">
        <v>2017</v>
      </c>
      <c r="C73" s="6" t="n">
        <v>271504</v>
      </c>
    </row>
    <row r="74" customFormat="false" ht="15" hidden="false" customHeight="false" outlineLevel="0" collapsed="false">
      <c r="A74" s="12" t="s">
        <v>18</v>
      </c>
      <c r="B74" s="12" t="n">
        <v>2018</v>
      </c>
      <c r="C74" s="6" t="n">
        <v>286025</v>
      </c>
    </row>
    <row r="75" customFormat="false" ht="15" hidden="false" customHeight="false" outlineLevel="0" collapsed="false">
      <c r="A75" s="12" t="s">
        <v>18</v>
      </c>
      <c r="B75" s="12" t="n">
        <v>2019</v>
      </c>
      <c r="C75" s="6" t="n">
        <v>305108</v>
      </c>
    </row>
    <row r="76" customFormat="false" ht="15" hidden="false" customHeight="false" outlineLevel="0" collapsed="false">
      <c r="A76" s="12" t="s">
        <v>18</v>
      </c>
      <c r="B76" s="12" t="n">
        <v>2020</v>
      </c>
      <c r="C76" s="6" t="n">
        <v>340933</v>
      </c>
    </row>
    <row r="77" customFormat="false" ht="15" hidden="false" customHeight="false" outlineLevel="0" collapsed="false">
      <c r="A77" s="12" t="s">
        <v>18</v>
      </c>
      <c r="B77" s="12" t="n">
        <v>2021</v>
      </c>
      <c r="C77" s="6" t="n">
        <v>347224</v>
      </c>
    </row>
    <row r="78" customFormat="false" ht="15" hidden="false" customHeight="false" outlineLevel="0" collapsed="false">
      <c r="A78" s="12" t="s">
        <v>18</v>
      </c>
      <c r="B78" s="12" t="n">
        <v>2022</v>
      </c>
      <c r="C78" s="6" t="n">
        <v>345289</v>
      </c>
    </row>
    <row r="79" customFormat="false" ht="15" hidden="false" customHeight="false" outlineLevel="0" collapsed="false">
      <c r="A79" s="12" t="s">
        <v>18</v>
      </c>
      <c r="B79" s="12" t="n">
        <v>2023</v>
      </c>
      <c r="C79" s="6" t="n">
        <v>359946</v>
      </c>
    </row>
    <row r="80" customFormat="false" ht="15" hidden="false" customHeight="false" outlineLevel="0" collapsed="false">
      <c r="A80" s="12" t="s">
        <v>18</v>
      </c>
      <c r="B80" s="12" t="n">
        <v>2024</v>
      </c>
      <c r="C80" s="6" t="n">
        <v>407400</v>
      </c>
    </row>
    <row r="81" customFormat="false" ht="15" hidden="false" customHeight="false" outlineLevel="0" collapsed="false">
      <c r="A81" s="12" t="s">
        <v>18</v>
      </c>
      <c r="B81" s="12" t="n">
        <v>2025</v>
      </c>
      <c r="C81" s="6" t="n">
        <v>513368</v>
      </c>
    </row>
    <row r="82" customFormat="false" ht="15" hidden="false" customHeight="false" outlineLevel="0" collapsed="false">
      <c r="A82" s="12" t="s">
        <v>18</v>
      </c>
      <c r="B82" s="12" t="n">
        <v>2026</v>
      </c>
      <c r="C82" s="6" t="n">
        <v>416123</v>
      </c>
    </row>
    <row r="83" customFormat="false" ht="15" hidden="false" customHeight="false" outlineLevel="0" collapsed="false">
      <c r="A83" s="12" t="s">
        <v>20</v>
      </c>
      <c r="B83" s="12" t="n">
        <v>2000</v>
      </c>
      <c r="C83" s="6" t="n">
        <v>9048</v>
      </c>
    </row>
    <row r="84" customFormat="false" ht="15" hidden="false" customHeight="false" outlineLevel="0" collapsed="false">
      <c r="A84" s="12" t="s">
        <v>20</v>
      </c>
      <c r="B84" s="12" t="n">
        <v>2001</v>
      </c>
      <c r="C84" s="6" t="n">
        <v>7056</v>
      </c>
    </row>
    <row r="85" customFormat="false" ht="15" hidden="false" customHeight="false" outlineLevel="0" collapsed="false">
      <c r="A85" s="12" t="s">
        <v>20</v>
      </c>
      <c r="B85" s="12" t="n">
        <v>2002</v>
      </c>
      <c r="C85" s="6" t="n">
        <v>7206</v>
      </c>
    </row>
    <row r="86" customFormat="false" ht="15" hidden="false" customHeight="false" outlineLevel="0" collapsed="false">
      <c r="A86" s="12" t="s">
        <v>20</v>
      </c>
      <c r="B86" s="12" t="n">
        <v>2003</v>
      </c>
      <c r="C86" s="6" t="n">
        <v>7437</v>
      </c>
    </row>
    <row r="87" customFormat="false" ht="15" hidden="false" customHeight="false" outlineLevel="0" collapsed="false">
      <c r="A87" s="12" t="s">
        <v>20</v>
      </c>
      <c r="B87" s="12" t="n">
        <v>2004</v>
      </c>
      <c r="C87" s="6" t="n">
        <v>7805</v>
      </c>
    </row>
    <row r="88" customFormat="false" ht="15" hidden="false" customHeight="false" outlineLevel="0" collapsed="false">
      <c r="A88" s="12" t="s">
        <v>20</v>
      </c>
      <c r="B88" s="12" t="n">
        <v>2005</v>
      </c>
      <c r="C88" s="6" t="n">
        <v>8367</v>
      </c>
    </row>
    <row r="89" customFormat="false" ht="15" hidden="false" customHeight="false" outlineLevel="0" collapsed="false">
      <c r="A89" s="12" t="s">
        <v>20</v>
      </c>
      <c r="B89" s="12" t="n">
        <v>2006</v>
      </c>
      <c r="C89" s="6" t="n">
        <v>9187</v>
      </c>
    </row>
    <row r="90" customFormat="false" ht="15" hidden="false" customHeight="false" outlineLevel="0" collapsed="false">
      <c r="A90" s="12" t="s">
        <v>20</v>
      </c>
      <c r="B90" s="12" t="n">
        <v>2007</v>
      </c>
      <c r="C90" s="6" t="n">
        <v>10386</v>
      </c>
    </row>
    <row r="91" customFormat="false" ht="15" hidden="false" customHeight="false" outlineLevel="0" collapsed="false">
      <c r="A91" s="12" t="s">
        <v>20</v>
      </c>
      <c r="B91" s="12" t="n">
        <v>2008</v>
      </c>
      <c r="C91" s="6" t="n">
        <v>11389</v>
      </c>
    </row>
    <row r="92" customFormat="false" ht="15" hidden="false" customHeight="false" outlineLevel="0" collapsed="false">
      <c r="A92" s="12" t="s">
        <v>20</v>
      </c>
      <c r="B92" s="12" t="n">
        <v>2009</v>
      </c>
      <c r="C92" s="6" t="n">
        <v>14269</v>
      </c>
    </row>
    <row r="93" customFormat="false" ht="15" hidden="false" customHeight="false" outlineLevel="0" collapsed="false">
      <c r="A93" s="12" t="s">
        <v>20</v>
      </c>
      <c r="B93" s="12" t="n">
        <v>2010</v>
      </c>
      <c r="C93" s="6" t="n">
        <v>15565</v>
      </c>
    </row>
    <row r="94" customFormat="false" ht="15" hidden="false" customHeight="false" outlineLevel="0" collapsed="false">
      <c r="A94" s="12" t="s">
        <v>20</v>
      </c>
      <c r="B94" s="12" t="n">
        <v>2011</v>
      </c>
      <c r="C94" s="6" t="n">
        <v>14532</v>
      </c>
    </row>
    <row r="95" customFormat="false" ht="15" hidden="false" customHeight="false" outlineLevel="0" collapsed="false">
      <c r="A95" s="12" t="s">
        <v>20</v>
      </c>
      <c r="B95" s="12" t="n">
        <v>2012</v>
      </c>
      <c r="C95" s="6" t="n">
        <v>15607</v>
      </c>
    </row>
    <row r="96" customFormat="false" ht="15" hidden="false" customHeight="false" outlineLevel="0" collapsed="false">
      <c r="A96" s="12" t="s">
        <v>20</v>
      </c>
      <c r="B96" s="12" t="n">
        <v>2013</v>
      </c>
      <c r="C96" s="6" t="n">
        <v>15892</v>
      </c>
    </row>
    <row r="97" customFormat="false" ht="15" hidden="false" customHeight="false" outlineLevel="0" collapsed="false">
      <c r="A97" s="12" t="s">
        <v>20</v>
      </c>
      <c r="B97" s="12" t="n">
        <v>2014</v>
      </c>
      <c r="C97" s="6" t="n">
        <v>17526</v>
      </c>
    </row>
    <row r="98" customFormat="false" ht="15" hidden="false" customHeight="false" outlineLevel="0" collapsed="false">
      <c r="A98" s="12" t="s">
        <v>20</v>
      </c>
      <c r="B98" s="12" t="n">
        <v>2015</v>
      </c>
      <c r="C98" s="6" t="n">
        <v>16967</v>
      </c>
    </row>
    <row r="99" customFormat="false" ht="15" hidden="false" customHeight="false" outlineLevel="0" collapsed="false">
      <c r="A99" s="12" t="s">
        <v>20</v>
      </c>
      <c r="B99" s="12" t="n">
        <v>2016</v>
      </c>
      <c r="C99" s="6" t="n">
        <v>16226</v>
      </c>
    </row>
    <row r="100" customFormat="false" ht="15" hidden="false" customHeight="false" outlineLevel="0" collapsed="false">
      <c r="A100" s="12" t="s">
        <v>20</v>
      </c>
      <c r="B100" s="12" t="n">
        <v>2017</v>
      </c>
      <c r="C100" s="6" t="n">
        <v>15879</v>
      </c>
    </row>
    <row r="101" customFormat="false" ht="15" hidden="false" customHeight="false" outlineLevel="0" collapsed="false">
      <c r="A101" s="12" t="s">
        <v>20</v>
      </c>
      <c r="B101" s="12" t="n">
        <v>2018</v>
      </c>
      <c r="C101" s="6" t="n">
        <v>17596</v>
      </c>
    </row>
    <row r="102" customFormat="false" ht="15" hidden="false" customHeight="false" outlineLevel="0" collapsed="false">
      <c r="A102" s="12" t="s">
        <v>20</v>
      </c>
      <c r="B102" s="12" t="n">
        <v>2019</v>
      </c>
      <c r="C102" s="6" t="n">
        <v>17112</v>
      </c>
    </row>
    <row r="103" customFormat="false" ht="15" hidden="false" customHeight="false" outlineLevel="0" collapsed="false">
      <c r="A103" s="12" t="s">
        <v>20</v>
      </c>
      <c r="B103" s="12" t="n">
        <v>2020</v>
      </c>
      <c r="C103" s="6" t="n">
        <v>18730</v>
      </c>
    </row>
    <row r="104" customFormat="false" ht="15" hidden="false" customHeight="false" outlineLevel="0" collapsed="false">
      <c r="A104" s="12" t="s">
        <v>20</v>
      </c>
      <c r="B104" s="12" t="n">
        <v>2021</v>
      </c>
      <c r="C104" s="6" t="n">
        <v>17576</v>
      </c>
    </row>
    <row r="105" customFormat="false" ht="15" hidden="false" customHeight="false" outlineLevel="0" collapsed="false">
      <c r="A105" s="12" t="s">
        <v>20</v>
      </c>
      <c r="B105" s="12" t="n">
        <v>2022</v>
      </c>
      <c r="C105" s="6" t="n">
        <v>16208</v>
      </c>
    </row>
    <row r="106" customFormat="false" ht="15" hidden="false" customHeight="false" outlineLevel="0" collapsed="false">
      <c r="A106" s="12" t="s">
        <v>20</v>
      </c>
      <c r="B106" s="12" t="n">
        <v>2023</v>
      </c>
      <c r="C106" s="6" t="n">
        <v>16475</v>
      </c>
    </row>
    <row r="107" customFormat="false" ht="15" hidden="false" customHeight="false" outlineLevel="0" collapsed="false">
      <c r="A107" s="12" t="s">
        <v>20</v>
      </c>
      <c r="B107" s="12" t="n">
        <v>2024</v>
      </c>
      <c r="C107" s="6" t="n">
        <v>17688</v>
      </c>
    </row>
    <row r="108" customFormat="false" ht="15" hidden="false" customHeight="false" outlineLevel="0" collapsed="false">
      <c r="A108" s="12" t="s">
        <v>20</v>
      </c>
      <c r="B108" s="12" t="n">
        <v>2025</v>
      </c>
      <c r="C108" s="6" t="n">
        <v>19750</v>
      </c>
    </row>
    <row r="109" customFormat="false" ht="15" hidden="false" customHeight="false" outlineLevel="0" collapsed="false">
      <c r="A109" s="12" t="s">
        <v>20</v>
      </c>
      <c r="B109" s="12" t="n">
        <v>2026</v>
      </c>
      <c r="C109" s="6" t="n">
        <v>12072</v>
      </c>
    </row>
    <row r="110" customFormat="false" ht="15" hidden="false" customHeight="false" outlineLevel="0" collapsed="false">
      <c r="A110" s="12" t="s">
        <v>21</v>
      </c>
      <c r="B110" s="12" t="n">
        <v>2000</v>
      </c>
      <c r="C110" s="6" t="n">
        <v>141316</v>
      </c>
    </row>
    <row r="111" customFormat="false" ht="15" hidden="false" customHeight="false" outlineLevel="0" collapsed="false">
      <c r="A111" s="12" t="s">
        <v>21</v>
      </c>
      <c r="B111" s="12" t="n">
        <v>2001</v>
      </c>
      <c r="C111" s="6" t="n">
        <v>118600</v>
      </c>
    </row>
    <row r="112" customFormat="false" ht="15" hidden="false" customHeight="false" outlineLevel="0" collapsed="false">
      <c r="A112" s="12" t="s">
        <v>21</v>
      </c>
      <c r="B112" s="12" t="n">
        <v>2002</v>
      </c>
      <c r="C112" s="6" t="n">
        <v>127052</v>
      </c>
    </row>
    <row r="113" customFormat="false" ht="15" hidden="false" customHeight="false" outlineLevel="0" collapsed="false">
      <c r="A113" s="12" t="s">
        <v>21</v>
      </c>
      <c r="B113" s="12" t="n">
        <v>2003</v>
      </c>
      <c r="C113" s="6" t="n">
        <v>134275</v>
      </c>
    </row>
    <row r="114" customFormat="false" ht="15" hidden="false" customHeight="false" outlineLevel="0" collapsed="false">
      <c r="A114" s="12" t="s">
        <v>21</v>
      </c>
      <c r="B114" s="12" t="n">
        <v>2004</v>
      </c>
      <c r="C114" s="6" t="n">
        <v>144275</v>
      </c>
    </row>
    <row r="115" customFormat="false" ht="15" hidden="false" customHeight="false" outlineLevel="0" collapsed="false">
      <c r="A115" s="12" t="s">
        <v>21</v>
      </c>
      <c r="B115" s="12" t="n">
        <v>2005</v>
      </c>
      <c r="C115" s="6" t="n">
        <v>156144</v>
      </c>
    </row>
    <row r="116" customFormat="false" ht="15" hidden="false" customHeight="false" outlineLevel="0" collapsed="false">
      <c r="A116" s="12" t="s">
        <v>21</v>
      </c>
      <c r="B116" s="12" t="n">
        <v>2006</v>
      </c>
      <c r="C116" s="6" t="n">
        <v>168946</v>
      </c>
    </row>
    <row r="117" customFormat="false" ht="15" hidden="false" customHeight="false" outlineLevel="0" collapsed="false">
      <c r="A117" s="12" t="s">
        <v>21</v>
      </c>
      <c r="B117" s="12" t="n">
        <v>2007</v>
      </c>
      <c r="C117" s="6" t="n">
        <v>181247</v>
      </c>
    </row>
    <row r="118" customFormat="false" ht="15" hidden="false" customHeight="false" outlineLevel="0" collapsed="false">
      <c r="A118" s="12" t="s">
        <v>21</v>
      </c>
      <c r="B118" s="12" t="n">
        <v>2008</v>
      </c>
      <c r="C118" s="6" t="n">
        <v>200022</v>
      </c>
    </row>
    <row r="119" customFormat="false" ht="15" hidden="false" customHeight="false" outlineLevel="0" collapsed="false">
      <c r="A119" s="12" t="s">
        <v>21</v>
      </c>
      <c r="B119" s="12" t="n">
        <v>2009</v>
      </c>
      <c r="C119" s="6" t="n">
        <v>234345</v>
      </c>
    </row>
    <row r="120" customFormat="false" ht="15" hidden="false" customHeight="false" outlineLevel="0" collapsed="false">
      <c r="A120" s="12" t="s">
        <v>21</v>
      </c>
      <c r="B120" s="12" t="n">
        <v>2010</v>
      </c>
      <c r="C120" s="6" t="n">
        <v>245740</v>
      </c>
    </row>
    <row r="121" customFormat="false" ht="15" hidden="false" customHeight="false" outlineLevel="0" collapsed="false">
      <c r="A121" s="12" t="s">
        <v>21</v>
      </c>
      <c r="B121" s="12" t="n">
        <v>2011</v>
      </c>
      <c r="C121" s="6" t="n">
        <v>246035</v>
      </c>
    </row>
    <row r="122" customFormat="false" ht="15" hidden="false" customHeight="false" outlineLevel="0" collapsed="false">
      <c r="A122" s="12" t="s">
        <v>21</v>
      </c>
      <c r="B122" s="12" t="n">
        <v>2012</v>
      </c>
      <c r="C122" s="6" t="n">
        <v>258419</v>
      </c>
    </row>
    <row r="123" customFormat="false" ht="15" hidden="false" customHeight="false" outlineLevel="0" collapsed="false">
      <c r="A123" s="12" t="s">
        <v>21</v>
      </c>
      <c r="B123" s="12" t="n">
        <v>2013</v>
      </c>
      <c r="C123" s="6" t="n">
        <v>272783</v>
      </c>
    </row>
    <row r="124" customFormat="false" ht="15" hidden="false" customHeight="false" outlineLevel="0" collapsed="false">
      <c r="A124" s="12" t="s">
        <v>21</v>
      </c>
      <c r="B124" s="12" t="n">
        <v>2014</v>
      </c>
      <c r="C124" s="6" t="n">
        <v>284625</v>
      </c>
    </row>
    <row r="125" customFormat="false" ht="15" hidden="false" customHeight="false" outlineLevel="0" collapsed="false">
      <c r="A125" s="12" t="s">
        <v>21</v>
      </c>
      <c r="B125" s="12" t="n">
        <v>2015</v>
      </c>
      <c r="C125" s="6" t="n">
        <v>285055</v>
      </c>
    </row>
    <row r="126" customFormat="false" ht="15" hidden="false" customHeight="false" outlineLevel="0" collapsed="false">
      <c r="A126" s="12" t="s">
        <v>21</v>
      </c>
      <c r="B126" s="12" t="n">
        <v>2016</v>
      </c>
      <c r="C126" s="6" t="n">
        <v>279649</v>
      </c>
    </row>
    <row r="127" customFormat="false" ht="15" hidden="false" customHeight="false" outlineLevel="0" collapsed="false">
      <c r="A127" s="12" t="s">
        <v>21</v>
      </c>
      <c r="B127" s="12" t="n">
        <v>2017</v>
      </c>
      <c r="C127" s="6" t="n">
        <v>284760</v>
      </c>
    </row>
    <row r="128" customFormat="false" ht="15" hidden="false" customHeight="false" outlineLevel="0" collapsed="false">
      <c r="A128" s="12" t="s">
        <v>21</v>
      </c>
      <c r="B128" s="12" t="n">
        <v>2018</v>
      </c>
      <c r="C128" s="6" t="n">
        <v>284973</v>
      </c>
    </row>
    <row r="129" customFormat="false" ht="15" hidden="false" customHeight="false" outlineLevel="0" collapsed="false">
      <c r="A129" s="12" t="s">
        <v>21</v>
      </c>
      <c r="B129" s="12" t="n">
        <v>2019</v>
      </c>
      <c r="C129" s="6" t="n">
        <v>291181</v>
      </c>
    </row>
    <row r="130" customFormat="false" ht="15" hidden="false" customHeight="false" outlineLevel="0" collapsed="false">
      <c r="A130" s="12" t="s">
        <v>21</v>
      </c>
      <c r="B130" s="12" t="n">
        <v>2020</v>
      </c>
      <c r="C130" s="6" t="n">
        <v>304361</v>
      </c>
    </row>
    <row r="131" customFormat="false" ht="15" hidden="false" customHeight="false" outlineLevel="0" collapsed="false">
      <c r="A131" s="12" t="s">
        <v>21</v>
      </c>
      <c r="B131" s="12" t="n">
        <v>2021</v>
      </c>
      <c r="C131" s="6" t="n">
        <v>287435</v>
      </c>
    </row>
    <row r="132" customFormat="false" ht="15" hidden="false" customHeight="false" outlineLevel="0" collapsed="false">
      <c r="A132" s="12" t="s">
        <v>21</v>
      </c>
      <c r="B132" s="12" t="n">
        <v>2022</v>
      </c>
      <c r="C132" s="6" t="n">
        <v>268142</v>
      </c>
    </row>
    <row r="133" customFormat="false" ht="15" hidden="false" customHeight="false" outlineLevel="0" collapsed="false">
      <c r="A133" s="12" t="s">
        <v>21</v>
      </c>
      <c r="B133" s="12" t="n">
        <v>2023</v>
      </c>
      <c r="C133" s="6" t="n">
        <v>273628</v>
      </c>
    </row>
    <row r="134" customFormat="false" ht="15" hidden="false" customHeight="false" outlineLevel="0" collapsed="false">
      <c r="A134" s="12" t="s">
        <v>21</v>
      </c>
      <c r="B134" s="12" t="n">
        <v>2024</v>
      </c>
      <c r="C134" s="6" t="n">
        <v>298315</v>
      </c>
    </row>
    <row r="135" customFormat="false" ht="15" hidden="false" customHeight="false" outlineLevel="0" collapsed="false">
      <c r="A135" s="12" t="s">
        <v>21</v>
      </c>
      <c r="B135" s="12" t="n">
        <v>2025</v>
      </c>
      <c r="C135" s="6" t="n">
        <v>357159</v>
      </c>
    </row>
    <row r="136" customFormat="false" ht="15" hidden="false" customHeight="false" outlineLevel="0" collapsed="false">
      <c r="A136" s="12" t="s">
        <v>21</v>
      </c>
      <c r="B136" s="12" t="n">
        <v>2026</v>
      </c>
      <c r="C136" s="6" t="n">
        <v>256754</v>
      </c>
    </row>
    <row r="137" customFormat="false" ht="15" hidden="false" customHeight="false" outlineLevel="0" collapsed="false">
      <c r="A137" s="12" t="s">
        <v>23</v>
      </c>
      <c r="B137" s="12" t="n">
        <v>2000</v>
      </c>
      <c r="C137" s="6" t="n">
        <v>4</v>
      </c>
    </row>
    <row r="138" customFormat="false" ht="15" hidden="false" customHeight="false" outlineLevel="0" collapsed="false">
      <c r="A138" s="12" t="s">
        <v>23</v>
      </c>
      <c r="B138" s="12" t="n">
        <v>2001</v>
      </c>
      <c r="C138" s="6" t="n">
        <v>2</v>
      </c>
    </row>
    <row r="139" customFormat="false" ht="15" hidden="false" customHeight="false" outlineLevel="0" collapsed="false">
      <c r="A139" s="12" t="s">
        <v>23</v>
      </c>
      <c r="B139" s="12" t="n">
        <v>2002</v>
      </c>
      <c r="C139" s="6" t="n">
        <v>1</v>
      </c>
    </row>
    <row r="140" customFormat="false" ht="15" hidden="false" customHeight="false" outlineLevel="0" collapsed="false">
      <c r="A140" s="12" t="s">
        <v>23</v>
      </c>
      <c r="B140" s="12" t="n">
        <v>2003</v>
      </c>
      <c r="C140" s="6" t="n">
        <v>4</v>
      </c>
    </row>
    <row r="141" customFormat="false" ht="15" hidden="false" customHeight="false" outlineLevel="0" collapsed="false">
      <c r="A141" s="12" t="s">
        <v>23</v>
      </c>
      <c r="B141" s="12" t="n">
        <v>2004</v>
      </c>
      <c r="C141" s="6" t="n">
        <v>1</v>
      </c>
    </row>
    <row r="142" customFormat="false" ht="15" hidden="false" customHeight="false" outlineLevel="0" collapsed="false">
      <c r="A142" s="12" t="s">
        <v>23</v>
      </c>
      <c r="B142" s="12" t="n">
        <v>2005</v>
      </c>
      <c r="C142" s="6" t="n">
        <v>0</v>
      </c>
    </row>
    <row r="143" customFormat="false" ht="15" hidden="false" customHeight="false" outlineLevel="0" collapsed="false">
      <c r="A143" s="12" t="s">
        <v>23</v>
      </c>
      <c r="B143" s="12" t="n">
        <v>2006</v>
      </c>
      <c r="C143" s="6" t="n">
        <v>0</v>
      </c>
    </row>
    <row r="144" customFormat="false" ht="15" hidden="false" customHeight="false" outlineLevel="0" collapsed="false">
      <c r="A144" s="12" t="s">
        <v>23</v>
      </c>
      <c r="B144" s="12" t="n">
        <v>2007</v>
      </c>
      <c r="C144" s="6" t="n">
        <v>4</v>
      </c>
    </row>
    <row r="145" customFormat="false" ht="15" hidden="false" customHeight="false" outlineLevel="0" collapsed="false">
      <c r="A145" s="12" t="s">
        <v>23</v>
      </c>
      <c r="B145" s="12" t="n">
        <v>2008</v>
      </c>
      <c r="C145" s="6" t="n">
        <v>3</v>
      </c>
    </row>
    <row r="146" customFormat="false" ht="15" hidden="false" customHeight="false" outlineLevel="0" collapsed="false">
      <c r="A146" s="12" t="s">
        <v>23</v>
      </c>
      <c r="B146" s="12" t="n">
        <v>2009</v>
      </c>
      <c r="C146" s="6" t="n">
        <v>3</v>
      </c>
    </row>
    <row r="147" customFormat="false" ht="15" hidden="false" customHeight="false" outlineLevel="0" collapsed="false">
      <c r="A147" s="12" t="s">
        <v>23</v>
      </c>
      <c r="B147" s="12" t="n">
        <v>2010</v>
      </c>
      <c r="C147" s="6" t="n">
        <v>6</v>
      </c>
    </row>
    <row r="148" customFormat="false" ht="15" hidden="false" customHeight="false" outlineLevel="0" collapsed="false">
      <c r="A148" s="12" t="s">
        <v>23</v>
      </c>
      <c r="B148" s="12" t="n">
        <v>2011</v>
      </c>
      <c r="C148" s="6" t="n">
        <v>2</v>
      </c>
    </row>
    <row r="149" customFormat="false" ht="15" hidden="false" customHeight="false" outlineLevel="0" collapsed="false">
      <c r="A149" s="12" t="s">
        <v>23</v>
      </c>
      <c r="B149" s="12" t="n">
        <v>2012</v>
      </c>
      <c r="C149" s="6" t="n">
        <v>12</v>
      </c>
    </row>
    <row r="150" customFormat="false" ht="15" hidden="false" customHeight="false" outlineLevel="0" collapsed="false">
      <c r="A150" s="12" t="s">
        <v>23</v>
      </c>
      <c r="B150" s="12" t="n">
        <v>2013</v>
      </c>
      <c r="C150" s="6" t="n">
        <v>15</v>
      </c>
    </row>
    <row r="151" customFormat="false" ht="15" hidden="false" customHeight="false" outlineLevel="0" collapsed="false">
      <c r="A151" s="12" t="s">
        <v>23</v>
      </c>
      <c r="B151" s="12" t="n">
        <v>2014</v>
      </c>
      <c r="C151" s="6" t="n">
        <v>25</v>
      </c>
    </row>
    <row r="152" customFormat="false" ht="15" hidden="false" customHeight="false" outlineLevel="0" collapsed="false">
      <c r="A152" s="12" t="s">
        <v>23</v>
      </c>
      <c r="B152" s="12" t="n">
        <v>2015</v>
      </c>
      <c r="C152" s="6" t="n">
        <v>42</v>
      </c>
    </row>
    <row r="153" customFormat="false" ht="15" hidden="false" customHeight="false" outlineLevel="0" collapsed="false">
      <c r="A153" s="12" t="s">
        <v>23</v>
      </c>
      <c r="B153" s="12" t="n">
        <v>2016</v>
      </c>
      <c r="C153" s="6" t="n">
        <v>89</v>
      </c>
    </row>
    <row r="154" customFormat="false" ht="15" hidden="false" customHeight="false" outlineLevel="0" collapsed="false">
      <c r="A154" s="12" t="s">
        <v>23</v>
      </c>
      <c r="B154" s="12" t="n">
        <v>2017</v>
      </c>
      <c r="C154" s="6" t="n">
        <v>104</v>
      </c>
    </row>
    <row r="155" customFormat="false" ht="15" hidden="false" customHeight="false" outlineLevel="0" collapsed="false">
      <c r="A155" s="12" t="s">
        <v>23</v>
      </c>
      <c r="B155" s="12" t="n">
        <v>2018</v>
      </c>
      <c r="C155" s="6" t="n">
        <v>181</v>
      </c>
    </row>
    <row r="156" customFormat="false" ht="15" hidden="false" customHeight="false" outlineLevel="0" collapsed="false">
      <c r="A156" s="12" t="s">
        <v>23</v>
      </c>
      <c r="B156" s="12" t="n">
        <v>2019</v>
      </c>
      <c r="C156" s="6" t="n">
        <v>260</v>
      </c>
    </row>
    <row r="157" customFormat="false" ht="15" hidden="false" customHeight="false" outlineLevel="0" collapsed="false">
      <c r="A157" s="12" t="s">
        <v>23</v>
      </c>
      <c r="B157" s="12" t="n">
        <v>2020</v>
      </c>
      <c r="C157" s="6" t="n">
        <v>338</v>
      </c>
    </row>
    <row r="158" customFormat="false" ht="15" hidden="false" customHeight="false" outlineLevel="0" collapsed="false">
      <c r="A158" s="12" t="s">
        <v>23</v>
      </c>
      <c r="B158" s="12" t="n">
        <v>2021</v>
      </c>
      <c r="C158" s="6" t="n">
        <v>347</v>
      </c>
    </row>
    <row r="159" customFormat="false" ht="15" hidden="false" customHeight="false" outlineLevel="0" collapsed="false">
      <c r="A159" s="12" t="s">
        <v>23</v>
      </c>
      <c r="B159" s="12" t="n">
        <v>2022</v>
      </c>
      <c r="C159" s="6" t="n">
        <v>411</v>
      </c>
    </row>
    <row r="160" customFormat="false" ht="15" hidden="false" customHeight="false" outlineLevel="0" collapsed="false">
      <c r="A160" s="12" t="s">
        <v>23</v>
      </c>
      <c r="B160" s="12" t="n">
        <v>2023</v>
      </c>
      <c r="C160" s="6" t="n">
        <v>499</v>
      </c>
    </row>
    <row r="161" customFormat="false" ht="15" hidden="false" customHeight="false" outlineLevel="0" collapsed="false">
      <c r="A161" s="12" t="s">
        <v>23</v>
      </c>
      <c r="B161" s="12" t="n">
        <v>2024</v>
      </c>
      <c r="C161" s="6" t="n">
        <v>686</v>
      </c>
    </row>
    <row r="162" customFormat="false" ht="15" hidden="false" customHeight="false" outlineLevel="0" collapsed="false">
      <c r="A162" s="12" t="s">
        <v>23</v>
      </c>
      <c r="B162" s="12" t="n">
        <v>2025</v>
      </c>
      <c r="C162" s="6" t="n">
        <v>1080</v>
      </c>
    </row>
    <row r="163" customFormat="false" ht="15" hidden="false" customHeight="false" outlineLevel="0" collapsed="false">
      <c r="A163" s="12" t="s">
        <v>23</v>
      </c>
      <c r="B163" s="12" t="n">
        <v>2026</v>
      </c>
      <c r="C163" s="6" t="n">
        <v>801</v>
      </c>
    </row>
    <row r="164" customFormat="false" ht="15" hidden="false" customHeight="false" outlineLevel="0" collapsed="false">
      <c r="A164" s="12" t="s">
        <v>24</v>
      </c>
      <c r="B164" s="12" t="n">
        <v>2000</v>
      </c>
      <c r="C164" s="6" t="n">
        <v>5</v>
      </c>
    </row>
    <row r="165" customFormat="false" ht="15" hidden="false" customHeight="false" outlineLevel="0" collapsed="false">
      <c r="A165" s="12" t="s">
        <v>24</v>
      </c>
      <c r="B165" s="12" t="n">
        <v>2001</v>
      </c>
      <c r="C165" s="6" t="n">
        <v>8</v>
      </c>
    </row>
    <row r="166" customFormat="false" ht="15" hidden="false" customHeight="false" outlineLevel="0" collapsed="false">
      <c r="A166" s="12" t="s">
        <v>24</v>
      </c>
      <c r="B166" s="12" t="n">
        <v>2002</v>
      </c>
      <c r="C166" s="6" t="n">
        <v>4</v>
      </c>
    </row>
    <row r="167" customFormat="false" ht="15" hidden="false" customHeight="false" outlineLevel="0" collapsed="false">
      <c r="A167" s="12" t="s">
        <v>24</v>
      </c>
      <c r="B167" s="12" t="n">
        <v>2003</v>
      </c>
      <c r="C167" s="6" t="n">
        <v>4</v>
      </c>
    </row>
    <row r="168" customFormat="false" ht="15" hidden="false" customHeight="false" outlineLevel="0" collapsed="false">
      <c r="A168" s="12" t="s">
        <v>24</v>
      </c>
      <c r="B168" s="12" t="n">
        <v>2004</v>
      </c>
      <c r="C168" s="6" t="n">
        <v>7</v>
      </c>
    </row>
    <row r="169" customFormat="false" ht="15" hidden="false" customHeight="false" outlineLevel="0" collapsed="false">
      <c r="A169" s="12" t="s">
        <v>24</v>
      </c>
      <c r="B169" s="12" t="n">
        <v>2005</v>
      </c>
      <c r="C169" s="6" t="n">
        <v>4</v>
      </c>
    </row>
    <row r="170" customFormat="false" ht="15" hidden="false" customHeight="false" outlineLevel="0" collapsed="false">
      <c r="A170" s="12" t="s">
        <v>24</v>
      </c>
      <c r="B170" s="12" t="n">
        <v>2006</v>
      </c>
      <c r="C170" s="6" t="n">
        <v>8</v>
      </c>
    </row>
    <row r="171" customFormat="false" ht="15" hidden="false" customHeight="false" outlineLevel="0" collapsed="false">
      <c r="A171" s="12" t="s">
        <v>24</v>
      </c>
      <c r="B171" s="12" t="n">
        <v>2007</v>
      </c>
      <c r="C171" s="6" t="n">
        <v>7</v>
      </c>
    </row>
    <row r="172" customFormat="false" ht="15" hidden="false" customHeight="false" outlineLevel="0" collapsed="false">
      <c r="A172" s="12" t="s">
        <v>24</v>
      </c>
      <c r="B172" s="12" t="n">
        <v>2008</v>
      </c>
      <c r="C172" s="6" t="n">
        <v>3</v>
      </c>
    </row>
    <row r="173" customFormat="false" ht="15" hidden="false" customHeight="false" outlineLevel="0" collapsed="false">
      <c r="A173" s="12" t="s">
        <v>24</v>
      </c>
      <c r="B173" s="12" t="n">
        <v>2009</v>
      </c>
      <c r="C173" s="6" t="n">
        <v>5</v>
      </c>
    </row>
    <row r="174" customFormat="false" ht="15" hidden="false" customHeight="false" outlineLevel="0" collapsed="false">
      <c r="A174" s="12" t="s">
        <v>24</v>
      </c>
      <c r="B174" s="12" t="n">
        <v>2010</v>
      </c>
      <c r="C174" s="6" t="n">
        <v>9</v>
      </c>
    </row>
    <row r="175" customFormat="false" ht="15" hidden="false" customHeight="false" outlineLevel="0" collapsed="false">
      <c r="A175" s="12" t="s">
        <v>24</v>
      </c>
      <c r="B175" s="12" t="n">
        <v>2011</v>
      </c>
      <c r="C175" s="6" t="n">
        <v>4</v>
      </c>
    </row>
    <row r="176" customFormat="false" ht="15" hidden="false" customHeight="false" outlineLevel="0" collapsed="false">
      <c r="A176" s="12" t="s">
        <v>24</v>
      </c>
      <c r="B176" s="12" t="n">
        <v>2012</v>
      </c>
      <c r="C176" s="6" t="n">
        <v>11</v>
      </c>
    </row>
    <row r="177" customFormat="false" ht="15" hidden="false" customHeight="false" outlineLevel="0" collapsed="false">
      <c r="A177" s="12" t="s">
        <v>24</v>
      </c>
      <c r="B177" s="12" t="n">
        <v>2013</v>
      </c>
      <c r="C177" s="6" t="n">
        <v>24</v>
      </c>
    </row>
    <row r="178" customFormat="false" ht="15" hidden="false" customHeight="false" outlineLevel="0" collapsed="false">
      <c r="A178" s="12" t="s">
        <v>24</v>
      </c>
      <c r="B178" s="12" t="n">
        <v>2014</v>
      </c>
      <c r="C178" s="6" t="n">
        <v>25</v>
      </c>
    </row>
    <row r="179" customFormat="false" ht="15" hidden="false" customHeight="false" outlineLevel="0" collapsed="false">
      <c r="A179" s="12" t="s">
        <v>24</v>
      </c>
      <c r="B179" s="12" t="n">
        <v>2015</v>
      </c>
      <c r="C179" s="6" t="n">
        <v>35</v>
      </c>
    </row>
    <row r="180" customFormat="false" ht="15" hidden="false" customHeight="false" outlineLevel="0" collapsed="false">
      <c r="A180" s="12" t="s">
        <v>24</v>
      </c>
      <c r="B180" s="12" t="n">
        <v>2016</v>
      </c>
      <c r="C180" s="6" t="n">
        <v>62</v>
      </c>
    </row>
    <row r="181" customFormat="false" ht="15" hidden="false" customHeight="false" outlineLevel="0" collapsed="false">
      <c r="A181" s="12" t="s">
        <v>24</v>
      </c>
      <c r="B181" s="12" t="n">
        <v>2017</v>
      </c>
      <c r="C181" s="6" t="n">
        <v>96</v>
      </c>
    </row>
    <row r="182" customFormat="false" ht="15" hidden="false" customHeight="false" outlineLevel="0" collapsed="false">
      <c r="A182" s="12" t="s">
        <v>24</v>
      </c>
      <c r="B182" s="12" t="n">
        <v>2018</v>
      </c>
      <c r="C182" s="6" t="n">
        <v>154</v>
      </c>
    </row>
    <row r="183" customFormat="false" ht="15" hidden="false" customHeight="false" outlineLevel="0" collapsed="false">
      <c r="A183" s="12" t="s">
        <v>24</v>
      </c>
      <c r="B183" s="12" t="n">
        <v>2019</v>
      </c>
      <c r="C183" s="6" t="n">
        <v>195</v>
      </c>
    </row>
    <row r="184" customFormat="false" ht="15" hidden="false" customHeight="false" outlineLevel="0" collapsed="false">
      <c r="A184" s="12" t="s">
        <v>24</v>
      </c>
      <c r="B184" s="12" t="n">
        <v>2020</v>
      </c>
      <c r="C184" s="6" t="n">
        <v>224</v>
      </c>
    </row>
    <row r="185" customFormat="false" ht="15" hidden="false" customHeight="false" outlineLevel="0" collapsed="false">
      <c r="A185" s="12" t="s">
        <v>24</v>
      </c>
      <c r="B185" s="12" t="n">
        <v>2021</v>
      </c>
      <c r="C185" s="6" t="n">
        <v>303</v>
      </c>
    </row>
    <row r="186" customFormat="false" ht="15" hidden="false" customHeight="false" outlineLevel="0" collapsed="false">
      <c r="A186" s="12" t="s">
        <v>24</v>
      </c>
      <c r="B186" s="12" t="n">
        <v>2022</v>
      </c>
      <c r="C186" s="6" t="n">
        <v>295</v>
      </c>
    </row>
    <row r="187" customFormat="false" ht="15" hidden="false" customHeight="false" outlineLevel="0" collapsed="false">
      <c r="A187" s="12" t="s">
        <v>24</v>
      </c>
      <c r="B187" s="12" t="n">
        <v>2023</v>
      </c>
      <c r="C187" s="6" t="n">
        <v>369</v>
      </c>
    </row>
    <row r="188" customFormat="false" ht="15" hidden="false" customHeight="false" outlineLevel="0" collapsed="false">
      <c r="A188" s="12" t="s">
        <v>24</v>
      </c>
      <c r="B188" s="12" t="n">
        <v>2024</v>
      </c>
      <c r="C188" s="6" t="n">
        <v>555</v>
      </c>
    </row>
    <row r="189" customFormat="false" ht="15" hidden="false" customHeight="false" outlineLevel="0" collapsed="false">
      <c r="A189" s="12" t="s">
        <v>24</v>
      </c>
      <c r="B189" s="12" t="n">
        <v>2025</v>
      </c>
      <c r="C189" s="6" t="n">
        <v>740</v>
      </c>
    </row>
    <row r="190" customFormat="false" ht="15" hidden="false" customHeight="false" outlineLevel="0" collapsed="false">
      <c r="A190" s="12" t="s">
        <v>24</v>
      </c>
      <c r="B190" s="12" t="n">
        <v>2026</v>
      </c>
      <c r="C190" s="6" t="n">
        <v>547</v>
      </c>
    </row>
    <row r="191" customFormat="false" ht="15" hidden="false" customHeight="false" outlineLevel="0" collapsed="false">
      <c r="A191" s="12" t="s">
        <v>25</v>
      </c>
      <c r="B191" s="12" t="n">
        <v>2000</v>
      </c>
      <c r="C191" s="6" t="n">
        <v>0</v>
      </c>
    </row>
    <row r="192" customFormat="false" ht="15" hidden="false" customHeight="false" outlineLevel="0" collapsed="false">
      <c r="A192" s="12" t="s">
        <v>25</v>
      </c>
      <c r="B192" s="12" t="n">
        <v>2001</v>
      </c>
      <c r="C192" s="6" t="n">
        <v>6</v>
      </c>
    </row>
    <row r="193" customFormat="false" ht="15" hidden="false" customHeight="false" outlineLevel="0" collapsed="false">
      <c r="A193" s="12" t="s">
        <v>25</v>
      </c>
      <c r="B193" s="12" t="n">
        <v>2002</v>
      </c>
      <c r="C193" s="6" t="n">
        <v>5</v>
      </c>
    </row>
    <row r="194" customFormat="false" ht="15" hidden="false" customHeight="false" outlineLevel="0" collapsed="false">
      <c r="A194" s="12" t="s">
        <v>25</v>
      </c>
      <c r="B194" s="12" t="n">
        <v>2003</v>
      </c>
      <c r="C194" s="6" t="n">
        <v>1</v>
      </c>
    </row>
    <row r="195" customFormat="false" ht="15" hidden="false" customHeight="false" outlineLevel="0" collapsed="false">
      <c r="A195" s="12" t="s">
        <v>25</v>
      </c>
      <c r="B195" s="12" t="n">
        <v>2004</v>
      </c>
      <c r="C195" s="6" t="n">
        <v>1</v>
      </c>
    </row>
    <row r="196" customFormat="false" ht="15" hidden="false" customHeight="false" outlineLevel="0" collapsed="false">
      <c r="A196" s="12" t="s">
        <v>25</v>
      </c>
      <c r="B196" s="12" t="n">
        <v>2005</v>
      </c>
      <c r="C196" s="6" t="n">
        <v>0</v>
      </c>
    </row>
    <row r="197" customFormat="false" ht="15" hidden="false" customHeight="false" outlineLevel="0" collapsed="false">
      <c r="A197" s="12" t="s">
        <v>25</v>
      </c>
      <c r="B197" s="12" t="n">
        <v>2006</v>
      </c>
      <c r="C197" s="6" t="n">
        <v>1</v>
      </c>
    </row>
    <row r="198" customFormat="false" ht="15" hidden="false" customHeight="false" outlineLevel="0" collapsed="false">
      <c r="A198" s="12" t="s">
        <v>25</v>
      </c>
      <c r="B198" s="12" t="n">
        <v>2007</v>
      </c>
      <c r="C198" s="6" t="n">
        <v>2</v>
      </c>
    </row>
    <row r="199" customFormat="false" ht="15" hidden="false" customHeight="false" outlineLevel="0" collapsed="false">
      <c r="A199" s="12" t="s">
        <v>25</v>
      </c>
      <c r="B199" s="12" t="n">
        <v>2008</v>
      </c>
      <c r="C199" s="6" t="n">
        <v>1</v>
      </c>
    </row>
    <row r="200" customFormat="false" ht="15" hidden="false" customHeight="false" outlineLevel="0" collapsed="false">
      <c r="A200" s="12" t="s">
        <v>25</v>
      </c>
      <c r="B200" s="12" t="n">
        <v>2009</v>
      </c>
      <c r="C200" s="6" t="n">
        <v>0</v>
      </c>
    </row>
    <row r="201" customFormat="false" ht="15" hidden="false" customHeight="false" outlineLevel="0" collapsed="false">
      <c r="A201" s="12" t="s">
        <v>25</v>
      </c>
      <c r="B201" s="12" t="n">
        <v>2010</v>
      </c>
      <c r="C201" s="6" t="n">
        <v>3</v>
      </c>
    </row>
    <row r="202" customFormat="false" ht="15" hidden="false" customHeight="false" outlineLevel="0" collapsed="false">
      <c r="A202" s="12" t="s">
        <v>25</v>
      </c>
      <c r="B202" s="12" t="n">
        <v>2011</v>
      </c>
      <c r="C202" s="6" t="n">
        <v>0</v>
      </c>
    </row>
    <row r="203" customFormat="false" ht="15" hidden="false" customHeight="false" outlineLevel="0" collapsed="false">
      <c r="A203" s="12" t="s">
        <v>25</v>
      </c>
      <c r="B203" s="12" t="n">
        <v>2012</v>
      </c>
      <c r="C203" s="6" t="n">
        <v>7</v>
      </c>
    </row>
    <row r="204" customFormat="false" ht="15" hidden="false" customHeight="false" outlineLevel="0" collapsed="false">
      <c r="A204" s="12" t="s">
        <v>25</v>
      </c>
      <c r="B204" s="12" t="n">
        <v>2013</v>
      </c>
      <c r="C204" s="6" t="n">
        <v>16</v>
      </c>
    </row>
    <row r="205" customFormat="false" ht="15" hidden="false" customHeight="false" outlineLevel="0" collapsed="false">
      <c r="A205" s="12" t="s">
        <v>25</v>
      </c>
      <c r="B205" s="12" t="n">
        <v>2014</v>
      </c>
      <c r="C205" s="6" t="n">
        <v>19</v>
      </c>
    </row>
    <row r="206" customFormat="false" ht="15" hidden="false" customHeight="false" outlineLevel="0" collapsed="false">
      <c r="A206" s="12" t="s">
        <v>25</v>
      </c>
      <c r="B206" s="12" t="n">
        <v>2015</v>
      </c>
      <c r="C206" s="6" t="n">
        <v>18</v>
      </c>
    </row>
    <row r="207" customFormat="false" ht="15" hidden="false" customHeight="false" outlineLevel="0" collapsed="false">
      <c r="A207" s="12" t="s">
        <v>25</v>
      </c>
      <c r="B207" s="12" t="n">
        <v>2016</v>
      </c>
      <c r="C207" s="6" t="n">
        <v>16</v>
      </c>
    </row>
    <row r="208" customFormat="false" ht="15" hidden="false" customHeight="false" outlineLevel="0" collapsed="false">
      <c r="A208" s="12" t="s">
        <v>25</v>
      </c>
      <c r="B208" s="12" t="n">
        <v>2017</v>
      </c>
      <c r="C208" s="6" t="n">
        <v>35</v>
      </c>
    </row>
    <row r="209" customFormat="false" ht="15" hidden="false" customHeight="false" outlineLevel="0" collapsed="false">
      <c r="A209" s="12" t="s">
        <v>25</v>
      </c>
      <c r="B209" s="12" t="n">
        <v>2018</v>
      </c>
      <c r="C209" s="6" t="n">
        <v>60</v>
      </c>
    </row>
    <row r="210" customFormat="false" ht="15" hidden="false" customHeight="false" outlineLevel="0" collapsed="false">
      <c r="A210" s="12" t="s">
        <v>25</v>
      </c>
      <c r="B210" s="12" t="n">
        <v>2019</v>
      </c>
      <c r="C210" s="6" t="n">
        <v>47</v>
      </c>
    </row>
    <row r="211" customFormat="false" ht="15" hidden="false" customHeight="false" outlineLevel="0" collapsed="false">
      <c r="A211" s="12" t="s">
        <v>25</v>
      </c>
      <c r="B211" s="12" t="n">
        <v>2020</v>
      </c>
      <c r="C211" s="6" t="n">
        <v>64</v>
      </c>
    </row>
    <row r="212" customFormat="false" ht="15" hidden="false" customHeight="false" outlineLevel="0" collapsed="false">
      <c r="A212" s="12" t="s">
        <v>25</v>
      </c>
      <c r="B212" s="12" t="n">
        <v>2021</v>
      </c>
      <c r="C212" s="6" t="n">
        <v>106</v>
      </c>
    </row>
    <row r="213" customFormat="false" ht="15" hidden="false" customHeight="false" outlineLevel="0" collapsed="false">
      <c r="A213" s="12" t="s">
        <v>25</v>
      </c>
      <c r="B213" s="12" t="n">
        <v>2022</v>
      </c>
      <c r="C213" s="6" t="n">
        <v>89</v>
      </c>
    </row>
    <row r="214" customFormat="false" ht="15" hidden="false" customHeight="false" outlineLevel="0" collapsed="false">
      <c r="A214" s="12" t="s">
        <v>25</v>
      </c>
      <c r="B214" s="12" t="n">
        <v>2023</v>
      </c>
      <c r="C214" s="6" t="n">
        <v>113</v>
      </c>
    </row>
    <row r="215" customFormat="false" ht="15" hidden="false" customHeight="false" outlineLevel="0" collapsed="false">
      <c r="A215" s="12" t="s">
        <v>25</v>
      </c>
      <c r="B215" s="12" t="n">
        <v>2024</v>
      </c>
      <c r="C215" s="6" t="n">
        <v>176</v>
      </c>
    </row>
    <row r="216" customFormat="false" ht="15" hidden="false" customHeight="false" outlineLevel="0" collapsed="false">
      <c r="A216" s="12" t="s">
        <v>25</v>
      </c>
      <c r="B216" s="12" t="n">
        <v>2025</v>
      </c>
      <c r="C216" s="6" t="n">
        <v>226</v>
      </c>
    </row>
    <row r="217" customFormat="false" ht="15" hidden="false" customHeight="false" outlineLevel="0" collapsed="false">
      <c r="A217" s="12" t="s">
        <v>25</v>
      </c>
      <c r="B217" s="12" t="n">
        <v>2026</v>
      </c>
      <c r="C217" s="6" t="n">
        <v>187</v>
      </c>
    </row>
    <row r="218" customFormat="false" ht="15" hidden="false" customHeight="false" outlineLevel="0" collapsed="false">
      <c r="A218" s="12" t="s">
        <v>26</v>
      </c>
      <c r="B218" s="12" t="n">
        <v>2000</v>
      </c>
      <c r="C218" s="6" t="n">
        <v>6</v>
      </c>
    </row>
    <row r="219" customFormat="false" ht="15" hidden="false" customHeight="false" outlineLevel="0" collapsed="false">
      <c r="A219" s="12" t="s">
        <v>26</v>
      </c>
      <c r="B219" s="12" t="n">
        <v>2001</v>
      </c>
      <c r="C219" s="6" t="n">
        <v>2</v>
      </c>
    </row>
    <row r="220" customFormat="false" ht="15" hidden="false" customHeight="false" outlineLevel="0" collapsed="false">
      <c r="A220" s="12" t="s">
        <v>26</v>
      </c>
      <c r="B220" s="12" t="n">
        <v>2002</v>
      </c>
      <c r="C220" s="6" t="n">
        <v>1</v>
      </c>
    </row>
    <row r="221" customFormat="false" ht="15" hidden="false" customHeight="false" outlineLevel="0" collapsed="false">
      <c r="A221" s="12" t="s">
        <v>26</v>
      </c>
      <c r="B221" s="12" t="n">
        <v>2003</v>
      </c>
      <c r="C221" s="6" t="n">
        <v>0</v>
      </c>
    </row>
    <row r="222" customFormat="false" ht="15" hidden="false" customHeight="false" outlineLevel="0" collapsed="false">
      <c r="A222" s="12" t="s">
        <v>26</v>
      </c>
      <c r="B222" s="12" t="n">
        <v>2004</v>
      </c>
      <c r="C222" s="6" t="n">
        <v>2</v>
      </c>
    </row>
    <row r="223" customFormat="false" ht="15" hidden="false" customHeight="false" outlineLevel="0" collapsed="false">
      <c r="A223" s="12" t="s">
        <v>26</v>
      </c>
      <c r="B223" s="12" t="n">
        <v>2005</v>
      </c>
      <c r="C223" s="6" t="n">
        <v>0</v>
      </c>
    </row>
    <row r="224" customFormat="false" ht="15" hidden="false" customHeight="false" outlineLevel="0" collapsed="false">
      <c r="A224" s="12" t="s">
        <v>26</v>
      </c>
      <c r="B224" s="12" t="n">
        <v>2006</v>
      </c>
      <c r="C224" s="6" t="n">
        <v>2</v>
      </c>
    </row>
    <row r="225" customFormat="false" ht="15" hidden="false" customHeight="false" outlineLevel="0" collapsed="false">
      <c r="A225" s="12" t="s">
        <v>26</v>
      </c>
      <c r="B225" s="12" t="n">
        <v>2007</v>
      </c>
      <c r="C225" s="6" t="n">
        <v>2</v>
      </c>
    </row>
    <row r="226" customFormat="false" ht="15" hidden="false" customHeight="false" outlineLevel="0" collapsed="false">
      <c r="A226" s="12" t="s">
        <v>26</v>
      </c>
      <c r="B226" s="12" t="n">
        <v>2008</v>
      </c>
      <c r="C226" s="6" t="n">
        <v>0</v>
      </c>
    </row>
    <row r="227" customFormat="false" ht="15" hidden="false" customHeight="false" outlineLevel="0" collapsed="false">
      <c r="A227" s="12" t="s">
        <v>26</v>
      </c>
      <c r="B227" s="12" t="n">
        <v>2009</v>
      </c>
      <c r="C227" s="6" t="n">
        <v>2</v>
      </c>
    </row>
    <row r="228" customFormat="false" ht="15" hidden="false" customHeight="false" outlineLevel="0" collapsed="false">
      <c r="A228" s="12" t="s">
        <v>26</v>
      </c>
      <c r="B228" s="12" t="n">
        <v>2010</v>
      </c>
      <c r="C228" s="6" t="n">
        <v>2</v>
      </c>
    </row>
    <row r="229" customFormat="false" ht="15" hidden="false" customHeight="false" outlineLevel="0" collapsed="false">
      <c r="A229" s="12" t="s">
        <v>26</v>
      </c>
      <c r="B229" s="12" t="n">
        <v>2011</v>
      </c>
      <c r="C229" s="6" t="n">
        <v>3</v>
      </c>
    </row>
    <row r="230" customFormat="false" ht="15" hidden="false" customHeight="false" outlineLevel="0" collapsed="false">
      <c r="A230" s="12" t="s">
        <v>26</v>
      </c>
      <c r="B230" s="12" t="n">
        <v>2012</v>
      </c>
      <c r="C230" s="6" t="n">
        <v>10</v>
      </c>
    </row>
    <row r="231" customFormat="false" ht="15" hidden="false" customHeight="false" outlineLevel="0" collapsed="false">
      <c r="A231" s="12" t="s">
        <v>26</v>
      </c>
      <c r="B231" s="12" t="n">
        <v>2013</v>
      </c>
      <c r="C231" s="6" t="n">
        <v>6</v>
      </c>
    </row>
    <row r="232" customFormat="false" ht="15" hidden="false" customHeight="false" outlineLevel="0" collapsed="false">
      <c r="A232" s="12" t="s">
        <v>26</v>
      </c>
      <c r="B232" s="12" t="n">
        <v>2014</v>
      </c>
      <c r="C232" s="6" t="n">
        <v>21</v>
      </c>
    </row>
    <row r="233" customFormat="false" ht="15" hidden="false" customHeight="false" outlineLevel="0" collapsed="false">
      <c r="A233" s="12" t="s">
        <v>26</v>
      </c>
      <c r="B233" s="12" t="n">
        <v>2015</v>
      </c>
      <c r="C233" s="6" t="n">
        <v>19</v>
      </c>
    </row>
    <row r="234" customFormat="false" ht="15" hidden="false" customHeight="false" outlineLevel="0" collapsed="false">
      <c r="A234" s="12" t="s">
        <v>26</v>
      </c>
      <c r="B234" s="12" t="n">
        <v>2016</v>
      </c>
      <c r="C234" s="6" t="n">
        <v>38</v>
      </c>
    </row>
    <row r="235" customFormat="false" ht="15" hidden="false" customHeight="false" outlineLevel="0" collapsed="false">
      <c r="A235" s="12" t="s">
        <v>26</v>
      </c>
      <c r="B235" s="12" t="n">
        <v>2017</v>
      </c>
      <c r="C235" s="6" t="n">
        <v>53</v>
      </c>
    </row>
    <row r="236" customFormat="false" ht="15" hidden="false" customHeight="false" outlineLevel="0" collapsed="false">
      <c r="A236" s="12" t="s">
        <v>26</v>
      </c>
      <c r="B236" s="12" t="n">
        <v>2018</v>
      </c>
      <c r="C236" s="6" t="n">
        <v>82</v>
      </c>
    </row>
    <row r="237" customFormat="false" ht="15" hidden="false" customHeight="false" outlineLevel="0" collapsed="false">
      <c r="A237" s="12" t="s">
        <v>26</v>
      </c>
      <c r="B237" s="12" t="n">
        <v>2019</v>
      </c>
      <c r="C237" s="6" t="n">
        <v>96</v>
      </c>
    </row>
    <row r="238" customFormat="false" ht="15" hidden="false" customHeight="false" outlineLevel="0" collapsed="false">
      <c r="A238" s="12" t="s">
        <v>26</v>
      </c>
      <c r="B238" s="12" t="n">
        <v>2020</v>
      </c>
      <c r="C238" s="6" t="n">
        <v>156</v>
      </c>
    </row>
    <row r="239" customFormat="false" ht="15" hidden="false" customHeight="false" outlineLevel="0" collapsed="false">
      <c r="A239" s="12" t="s">
        <v>26</v>
      </c>
      <c r="B239" s="12" t="n">
        <v>2021</v>
      </c>
      <c r="C239" s="6" t="n">
        <v>170</v>
      </c>
    </row>
    <row r="240" customFormat="false" ht="15" hidden="false" customHeight="false" outlineLevel="0" collapsed="false">
      <c r="A240" s="12" t="s">
        <v>26</v>
      </c>
      <c r="B240" s="12" t="n">
        <v>2022</v>
      </c>
      <c r="C240" s="6" t="n">
        <v>183</v>
      </c>
    </row>
    <row r="241" customFormat="false" ht="15" hidden="false" customHeight="false" outlineLevel="0" collapsed="false">
      <c r="A241" s="12" t="s">
        <v>26</v>
      </c>
      <c r="B241" s="12" t="n">
        <v>2023</v>
      </c>
      <c r="C241" s="6" t="n">
        <v>216</v>
      </c>
    </row>
    <row r="242" customFormat="false" ht="15" hidden="false" customHeight="false" outlineLevel="0" collapsed="false">
      <c r="A242" s="12" t="s">
        <v>26</v>
      </c>
      <c r="B242" s="12" t="n">
        <v>2024</v>
      </c>
      <c r="C242" s="6" t="n">
        <v>377</v>
      </c>
    </row>
    <row r="243" customFormat="false" ht="15" hidden="false" customHeight="false" outlineLevel="0" collapsed="false">
      <c r="A243" s="12" t="s">
        <v>26</v>
      </c>
      <c r="B243" s="12" t="n">
        <v>2025</v>
      </c>
      <c r="C243" s="6" t="n">
        <v>618</v>
      </c>
    </row>
    <row r="244" customFormat="false" ht="15" hidden="false" customHeight="false" outlineLevel="0" collapsed="false">
      <c r="A244" s="12" t="s">
        <v>26</v>
      </c>
      <c r="B244" s="12" t="n">
        <v>2026</v>
      </c>
      <c r="C244" s="6" t="n">
        <v>506</v>
      </c>
    </row>
    <row r="245" customFormat="false" ht="15" hidden="false" customHeight="false" outlineLevel="0" collapsed="false">
      <c r="A245" s="12" t="s">
        <v>27</v>
      </c>
      <c r="B245" s="12" t="n">
        <v>2000</v>
      </c>
      <c r="C245" s="6" t="n">
        <v>1</v>
      </c>
    </row>
    <row r="246" customFormat="false" ht="15" hidden="false" customHeight="false" outlineLevel="0" collapsed="false">
      <c r="A246" s="12" t="s">
        <v>27</v>
      </c>
      <c r="B246" s="12" t="n">
        <v>2001</v>
      </c>
      <c r="C246" s="6" t="n">
        <v>2</v>
      </c>
    </row>
    <row r="247" customFormat="false" ht="15" hidden="false" customHeight="false" outlineLevel="0" collapsed="false">
      <c r="A247" s="12" t="s">
        <v>27</v>
      </c>
      <c r="B247" s="12" t="n">
        <v>2002</v>
      </c>
      <c r="C247" s="6" t="n">
        <v>0</v>
      </c>
    </row>
    <row r="248" customFormat="false" ht="15" hidden="false" customHeight="false" outlineLevel="0" collapsed="false">
      <c r="A248" s="12" t="s">
        <v>27</v>
      </c>
      <c r="B248" s="12" t="n">
        <v>2003</v>
      </c>
      <c r="C248" s="6" t="n">
        <v>1</v>
      </c>
    </row>
    <row r="249" customFormat="false" ht="15" hidden="false" customHeight="false" outlineLevel="0" collapsed="false">
      <c r="A249" s="12" t="s">
        <v>27</v>
      </c>
      <c r="B249" s="12" t="n">
        <v>2004</v>
      </c>
      <c r="C249" s="6" t="n">
        <v>0</v>
      </c>
    </row>
    <row r="250" customFormat="false" ht="15" hidden="false" customHeight="false" outlineLevel="0" collapsed="false">
      <c r="A250" s="12" t="s">
        <v>27</v>
      </c>
      <c r="B250" s="12" t="n">
        <v>2005</v>
      </c>
      <c r="C250" s="6" t="n">
        <v>0</v>
      </c>
    </row>
    <row r="251" customFormat="false" ht="15" hidden="false" customHeight="false" outlineLevel="0" collapsed="false">
      <c r="A251" s="12" t="s">
        <v>27</v>
      </c>
      <c r="B251" s="12" t="n">
        <v>2006</v>
      </c>
      <c r="C251" s="6" t="n">
        <v>0</v>
      </c>
    </row>
    <row r="252" customFormat="false" ht="15" hidden="false" customHeight="false" outlineLevel="0" collapsed="false">
      <c r="A252" s="12" t="s">
        <v>27</v>
      </c>
      <c r="B252" s="12" t="n">
        <v>2007</v>
      </c>
      <c r="C252" s="6" t="n">
        <v>2</v>
      </c>
    </row>
    <row r="253" customFormat="false" ht="15" hidden="false" customHeight="false" outlineLevel="0" collapsed="false">
      <c r="A253" s="12" t="s">
        <v>27</v>
      </c>
      <c r="B253" s="12" t="n">
        <v>2008</v>
      </c>
      <c r="C253" s="6" t="n">
        <v>0</v>
      </c>
    </row>
    <row r="254" customFormat="false" ht="15" hidden="false" customHeight="false" outlineLevel="0" collapsed="false">
      <c r="A254" s="12" t="s">
        <v>27</v>
      </c>
      <c r="B254" s="12" t="n">
        <v>2009</v>
      </c>
      <c r="C254" s="6" t="n">
        <v>5</v>
      </c>
    </row>
    <row r="255" customFormat="false" ht="15" hidden="false" customHeight="false" outlineLevel="0" collapsed="false">
      <c r="A255" s="12" t="s">
        <v>27</v>
      </c>
      <c r="B255" s="12" t="n">
        <v>2010</v>
      </c>
      <c r="C255" s="6" t="n">
        <v>3</v>
      </c>
    </row>
    <row r="256" customFormat="false" ht="15" hidden="false" customHeight="false" outlineLevel="0" collapsed="false">
      <c r="A256" s="12" t="s">
        <v>27</v>
      </c>
      <c r="B256" s="12" t="n">
        <v>2011</v>
      </c>
      <c r="C256" s="6" t="n">
        <v>4</v>
      </c>
    </row>
    <row r="257" customFormat="false" ht="15" hidden="false" customHeight="false" outlineLevel="0" collapsed="false">
      <c r="A257" s="12" t="s">
        <v>27</v>
      </c>
      <c r="B257" s="12" t="n">
        <v>2012</v>
      </c>
      <c r="C257" s="6" t="n">
        <v>5</v>
      </c>
    </row>
    <row r="258" customFormat="false" ht="15" hidden="false" customHeight="false" outlineLevel="0" collapsed="false">
      <c r="A258" s="12" t="s">
        <v>27</v>
      </c>
      <c r="B258" s="12" t="n">
        <v>2013</v>
      </c>
      <c r="C258" s="6" t="n">
        <v>7</v>
      </c>
    </row>
    <row r="259" customFormat="false" ht="15" hidden="false" customHeight="false" outlineLevel="0" collapsed="false">
      <c r="A259" s="12" t="s">
        <v>27</v>
      </c>
      <c r="B259" s="12" t="n">
        <v>2014</v>
      </c>
      <c r="C259" s="6" t="n">
        <v>9</v>
      </c>
    </row>
    <row r="260" customFormat="false" ht="15" hidden="false" customHeight="false" outlineLevel="0" collapsed="false">
      <c r="A260" s="12" t="s">
        <v>27</v>
      </c>
      <c r="B260" s="12" t="n">
        <v>2015</v>
      </c>
      <c r="C260" s="6" t="n">
        <v>22</v>
      </c>
    </row>
    <row r="261" customFormat="false" ht="15" hidden="false" customHeight="false" outlineLevel="0" collapsed="false">
      <c r="A261" s="12" t="s">
        <v>27</v>
      </c>
      <c r="B261" s="12" t="n">
        <v>2016</v>
      </c>
      <c r="C261" s="6" t="n">
        <v>28</v>
      </c>
    </row>
    <row r="262" customFormat="false" ht="15" hidden="false" customHeight="false" outlineLevel="0" collapsed="false">
      <c r="A262" s="12" t="s">
        <v>27</v>
      </c>
      <c r="B262" s="12" t="n">
        <v>2017</v>
      </c>
      <c r="C262" s="6" t="n">
        <v>36</v>
      </c>
    </row>
    <row r="263" customFormat="false" ht="15" hidden="false" customHeight="false" outlineLevel="0" collapsed="false">
      <c r="A263" s="12" t="s">
        <v>27</v>
      </c>
      <c r="B263" s="12" t="n">
        <v>2018</v>
      </c>
      <c r="C263" s="6" t="n">
        <v>57</v>
      </c>
    </row>
    <row r="264" customFormat="false" ht="15" hidden="false" customHeight="false" outlineLevel="0" collapsed="false">
      <c r="A264" s="12" t="s">
        <v>27</v>
      </c>
      <c r="B264" s="12" t="n">
        <v>2019</v>
      </c>
      <c r="C264" s="6" t="n">
        <v>79</v>
      </c>
    </row>
    <row r="265" customFormat="false" ht="15" hidden="false" customHeight="false" outlineLevel="0" collapsed="false">
      <c r="A265" s="12" t="s">
        <v>27</v>
      </c>
      <c r="B265" s="12" t="n">
        <v>2020</v>
      </c>
      <c r="C265" s="6" t="n">
        <v>106</v>
      </c>
    </row>
    <row r="266" customFormat="false" ht="15" hidden="false" customHeight="false" outlineLevel="0" collapsed="false">
      <c r="A266" s="12" t="s">
        <v>27</v>
      </c>
      <c r="B266" s="12" t="n">
        <v>2021</v>
      </c>
      <c r="C266" s="6" t="n">
        <v>139</v>
      </c>
    </row>
    <row r="267" customFormat="false" ht="15" hidden="false" customHeight="false" outlineLevel="0" collapsed="false">
      <c r="A267" s="12" t="s">
        <v>27</v>
      </c>
      <c r="B267" s="12" t="n">
        <v>2022</v>
      </c>
      <c r="C267" s="6" t="n">
        <v>164</v>
      </c>
    </row>
    <row r="268" customFormat="false" ht="15" hidden="false" customHeight="false" outlineLevel="0" collapsed="false">
      <c r="A268" s="12" t="s">
        <v>27</v>
      </c>
      <c r="B268" s="12" t="n">
        <v>2023</v>
      </c>
      <c r="C268" s="6" t="n">
        <v>233</v>
      </c>
    </row>
    <row r="269" customFormat="false" ht="15" hidden="false" customHeight="false" outlineLevel="0" collapsed="false">
      <c r="A269" s="12" t="s">
        <v>27</v>
      </c>
      <c r="B269" s="12" t="n">
        <v>2024</v>
      </c>
      <c r="C269" s="6" t="n">
        <v>329</v>
      </c>
    </row>
    <row r="270" customFormat="false" ht="15" hidden="false" customHeight="false" outlineLevel="0" collapsed="false">
      <c r="A270" s="12" t="s">
        <v>27</v>
      </c>
      <c r="B270" s="12" t="n">
        <v>2025</v>
      </c>
      <c r="C270" s="6" t="n">
        <v>617</v>
      </c>
    </row>
    <row r="271" customFormat="false" ht="15" hidden="false" customHeight="false" outlineLevel="0" collapsed="false">
      <c r="A271" s="12" t="s">
        <v>27</v>
      </c>
      <c r="B271" s="12" t="n">
        <v>2026</v>
      </c>
      <c r="C271" s="6" t="n">
        <v>478</v>
      </c>
    </row>
    <row r="272" customFormat="false" ht="15" hidden="false" customHeight="false" outlineLevel="0" collapsed="false">
      <c r="A272" s="12" t="s">
        <v>28</v>
      </c>
      <c r="B272" s="12" t="n">
        <v>2000</v>
      </c>
      <c r="C272" s="6" t="n">
        <v>0</v>
      </c>
    </row>
    <row r="273" customFormat="false" ht="15" hidden="false" customHeight="false" outlineLevel="0" collapsed="false">
      <c r="A273" s="12" t="s">
        <v>28</v>
      </c>
      <c r="B273" s="12" t="n">
        <v>2001</v>
      </c>
      <c r="C273" s="6" t="n">
        <v>2</v>
      </c>
    </row>
    <row r="274" customFormat="false" ht="15" hidden="false" customHeight="false" outlineLevel="0" collapsed="false">
      <c r="A274" s="12" t="s">
        <v>28</v>
      </c>
      <c r="B274" s="12" t="n">
        <v>2002</v>
      </c>
      <c r="C274" s="6" t="n">
        <v>0</v>
      </c>
    </row>
    <row r="275" customFormat="false" ht="15" hidden="false" customHeight="false" outlineLevel="0" collapsed="false">
      <c r="A275" s="12" t="s">
        <v>28</v>
      </c>
      <c r="B275" s="12" t="n">
        <v>2003</v>
      </c>
      <c r="C275" s="6" t="n">
        <v>2</v>
      </c>
    </row>
    <row r="276" customFormat="false" ht="15" hidden="false" customHeight="false" outlineLevel="0" collapsed="false">
      <c r="A276" s="12" t="s">
        <v>28</v>
      </c>
      <c r="B276" s="12" t="n">
        <v>2004</v>
      </c>
      <c r="C276" s="6" t="n">
        <v>0</v>
      </c>
    </row>
    <row r="277" customFormat="false" ht="15" hidden="false" customHeight="false" outlineLevel="0" collapsed="false">
      <c r="A277" s="12" t="s">
        <v>28</v>
      </c>
      <c r="B277" s="12" t="n">
        <v>2005</v>
      </c>
      <c r="C277" s="6" t="n">
        <v>0</v>
      </c>
    </row>
    <row r="278" customFormat="false" ht="15" hidden="false" customHeight="false" outlineLevel="0" collapsed="false">
      <c r="A278" s="12" t="s">
        <v>28</v>
      </c>
      <c r="B278" s="12" t="n">
        <v>2006</v>
      </c>
      <c r="C278" s="6" t="n">
        <v>2</v>
      </c>
    </row>
    <row r="279" customFormat="false" ht="15" hidden="false" customHeight="false" outlineLevel="0" collapsed="false">
      <c r="A279" s="12" t="s">
        <v>28</v>
      </c>
      <c r="B279" s="12" t="n">
        <v>2007</v>
      </c>
      <c r="C279" s="6" t="n">
        <v>0</v>
      </c>
    </row>
    <row r="280" customFormat="false" ht="15" hidden="false" customHeight="false" outlineLevel="0" collapsed="false">
      <c r="A280" s="12" t="s">
        <v>28</v>
      </c>
      <c r="B280" s="12" t="n">
        <v>2008</v>
      </c>
      <c r="C280" s="6" t="n">
        <v>1</v>
      </c>
    </row>
    <row r="281" customFormat="false" ht="15" hidden="false" customHeight="false" outlineLevel="0" collapsed="false">
      <c r="A281" s="12" t="s">
        <v>28</v>
      </c>
      <c r="B281" s="12" t="n">
        <v>2009</v>
      </c>
      <c r="C281" s="6" t="n">
        <v>1</v>
      </c>
    </row>
    <row r="282" customFormat="false" ht="15" hidden="false" customHeight="false" outlineLevel="0" collapsed="false">
      <c r="A282" s="12" t="s">
        <v>28</v>
      </c>
      <c r="B282" s="12" t="n">
        <v>2010</v>
      </c>
      <c r="C282" s="6" t="n">
        <v>2</v>
      </c>
    </row>
    <row r="283" customFormat="false" ht="15" hidden="false" customHeight="false" outlineLevel="0" collapsed="false">
      <c r="A283" s="12" t="s">
        <v>28</v>
      </c>
      <c r="B283" s="12" t="n">
        <v>2011</v>
      </c>
      <c r="C283" s="6" t="n">
        <v>0</v>
      </c>
    </row>
    <row r="284" customFormat="false" ht="15" hidden="false" customHeight="false" outlineLevel="0" collapsed="false">
      <c r="A284" s="12" t="s">
        <v>28</v>
      </c>
      <c r="B284" s="12" t="n">
        <v>2012</v>
      </c>
      <c r="C284" s="6" t="n">
        <v>6</v>
      </c>
    </row>
    <row r="285" customFormat="false" ht="15" hidden="false" customHeight="false" outlineLevel="0" collapsed="false">
      <c r="A285" s="12" t="s">
        <v>28</v>
      </c>
      <c r="B285" s="12" t="n">
        <v>2013</v>
      </c>
      <c r="C285" s="6" t="n">
        <v>10</v>
      </c>
    </row>
    <row r="286" customFormat="false" ht="15" hidden="false" customHeight="false" outlineLevel="0" collapsed="false">
      <c r="A286" s="12" t="s">
        <v>28</v>
      </c>
      <c r="B286" s="12" t="n">
        <v>2014</v>
      </c>
      <c r="C286" s="6" t="n">
        <v>6</v>
      </c>
    </row>
    <row r="287" customFormat="false" ht="15" hidden="false" customHeight="false" outlineLevel="0" collapsed="false">
      <c r="A287" s="12" t="s">
        <v>28</v>
      </c>
      <c r="B287" s="12" t="n">
        <v>2015</v>
      </c>
      <c r="C287" s="6" t="n">
        <v>6</v>
      </c>
    </row>
    <row r="288" customFormat="false" ht="15" hidden="false" customHeight="false" outlineLevel="0" collapsed="false">
      <c r="A288" s="12" t="s">
        <v>28</v>
      </c>
      <c r="B288" s="12" t="n">
        <v>2016</v>
      </c>
      <c r="C288" s="6" t="n">
        <v>27</v>
      </c>
    </row>
    <row r="289" customFormat="false" ht="15" hidden="false" customHeight="false" outlineLevel="0" collapsed="false">
      <c r="A289" s="12" t="s">
        <v>28</v>
      </c>
      <c r="B289" s="12" t="n">
        <v>2017</v>
      </c>
      <c r="C289" s="6" t="n">
        <v>30</v>
      </c>
    </row>
    <row r="290" customFormat="false" ht="15" hidden="false" customHeight="false" outlineLevel="0" collapsed="false">
      <c r="A290" s="12" t="s">
        <v>28</v>
      </c>
      <c r="B290" s="12" t="n">
        <v>2018</v>
      </c>
      <c r="C290" s="6" t="n">
        <v>43</v>
      </c>
    </row>
    <row r="291" customFormat="false" ht="15" hidden="false" customHeight="false" outlineLevel="0" collapsed="false">
      <c r="A291" s="12" t="s">
        <v>28</v>
      </c>
      <c r="B291" s="12" t="n">
        <v>2019</v>
      </c>
      <c r="C291" s="6" t="n">
        <v>61</v>
      </c>
    </row>
    <row r="292" customFormat="false" ht="15" hidden="false" customHeight="false" outlineLevel="0" collapsed="false">
      <c r="A292" s="12" t="s">
        <v>28</v>
      </c>
      <c r="B292" s="12" t="n">
        <v>2020</v>
      </c>
      <c r="C292" s="6" t="n">
        <v>91</v>
      </c>
    </row>
    <row r="293" customFormat="false" ht="15" hidden="false" customHeight="false" outlineLevel="0" collapsed="false">
      <c r="A293" s="12" t="s">
        <v>28</v>
      </c>
      <c r="B293" s="12" t="n">
        <v>2021</v>
      </c>
      <c r="C293" s="6" t="n">
        <v>84</v>
      </c>
    </row>
    <row r="294" customFormat="false" ht="15" hidden="false" customHeight="false" outlineLevel="0" collapsed="false">
      <c r="A294" s="12" t="s">
        <v>28</v>
      </c>
      <c r="B294" s="12" t="n">
        <v>2022</v>
      </c>
      <c r="C294" s="6" t="n">
        <v>116</v>
      </c>
    </row>
    <row r="295" customFormat="false" ht="15" hidden="false" customHeight="false" outlineLevel="0" collapsed="false">
      <c r="A295" s="12" t="s">
        <v>28</v>
      </c>
      <c r="B295" s="12" t="n">
        <v>2023</v>
      </c>
      <c r="C295" s="6" t="n">
        <v>159</v>
      </c>
    </row>
    <row r="296" customFormat="false" ht="15" hidden="false" customHeight="false" outlineLevel="0" collapsed="false">
      <c r="A296" s="12" t="s">
        <v>28</v>
      </c>
      <c r="B296" s="12" t="n">
        <v>2024</v>
      </c>
      <c r="C296" s="6" t="n">
        <v>236</v>
      </c>
    </row>
    <row r="297" customFormat="false" ht="15" hidden="false" customHeight="false" outlineLevel="0" collapsed="false">
      <c r="A297" s="12" t="s">
        <v>28</v>
      </c>
      <c r="B297" s="12" t="n">
        <v>2025</v>
      </c>
      <c r="C297" s="6" t="n">
        <v>372</v>
      </c>
    </row>
    <row r="298" customFormat="false" ht="15" hidden="false" customHeight="false" outlineLevel="0" collapsed="false">
      <c r="A298" s="12" t="s">
        <v>28</v>
      </c>
      <c r="B298" s="12" t="n">
        <v>2026</v>
      </c>
      <c r="C298" s="6" t="n">
        <v>319</v>
      </c>
    </row>
    <row r="299" customFormat="false" ht="15" hidden="false" customHeight="false" outlineLevel="0" collapsed="false">
      <c r="A299" s="12" t="s">
        <v>29</v>
      </c>
      <c r="B299" s="12" t="n">
        <v>2000</v>
      </c>
      <c r="C299" s="6" t="n">
        <v>6</v>
      </c>
    </row>
    <row r="300" customFormat="false" ht="15" hidden="false" customHeight="false" outlineLevel="0" collapsed="false">
      <c r="A300" s="12" t="s">
        <v>29</v>
      </c>
      <c r="B300" s="12" t="n">
        <v>2001</v>
      </c>
      <c r="C300" s="6" t="n">
        <v>5</v>
      </c>
    </row>
    <row r="301" customFormat="false" ht="15" hidden="false" customHeight="false" outlineLevel="0" collapsed="false">
      <c r="A301" s="12" t="s">
        <v>29</v>
      </c>
      <c r="B301" s="12" t="n">
        <v>2002</v>
      </c>
      <c r="C301" s="6" t="n">
        <v>3</v>
      </c>
    </row>
    <row r="302" customFormat="false" ht="15" hidden="false" customHeight="false" outlineLevel="0" collapsed="false">
      <c r="A302" s="12" t="s">
        <v>29</v>
      </c>
      <c r="B302" s="12" t="n">
        <v>2003</v>
      </c>
      <c r="C302" s="6" t="n">
        <v>5</v>
      </c>
    </row>
    <row r="303" customFormat="false" ht="15" hidden="false" customHeight="false" outlineLevel="0" collapsed="false">
      <c r="A303" s="12" t="s">
        <v>29</v>
      </c>
      <c r="B303" s="12" t="n">
        <v>2004</v>
      </c>
      <c r="C303" s="6" t="n">
        <v>5</v>
      </c>
    </row>
    <row r="304" customFormat="false" ht="15" hidden="false" customHeight="false" outlineLevel="0" collapsed="false">
      <c r="A304" s="12" t="s">
        <v>29</v>
      </c>
      <c r="B304" s="12" t="n">
        <v>2005</v>
      </c>
      <c r="C304" s="6" t="n">
        <v>3</v>
      </c>
    </row>
    <row r="305" customFormat="false" ht="15" hidden="false" customHeight="false" outlineLevel="0" collapsed="false">
      <c r="A305" s="12" t="s">
        <v>29</v>
      </c>
      <c r="B305" s="12" t="n">
        <v>2006</v>
      </c>
      <c r="C305" s="6" t="n">
        <v>3</v>
      </c>
    </row>
    <row r="306" customFormat="false" ht="15" hidden="false" customHeight="false" outlineLevel="0" collapsed="false">
      <c r="A306" s="12" t="s">
        <v>29</v>
      </c>
      <c r="B306" s="12" t="n">
        <v>2007</v>
      </c>
      <c r="C306" s="6" t="n">
        <v>8</v>
      </c>
    </row>
    <row r="307" customFormat="false" ht="15" hidden="false" customHeight="false" outlineLevel="0" collapsed="false">
      <c r="A307" s="12" t="s">
        <v>29</v>
      </c>
      <c r="B307" s="12" t="n">
        <v>2008</v>
      </c>
      <c r="C307" s="6" t="n">
        <v>3</v>
      </c>
    </row>
    <row r="308" customFormat="false" ht="15" hidden="false" customHeight="false" outlineLevel="0" collapsed="false">
      <c r="A308" s="12" t="s">
        <v>29</v>
      </c>
      <c r="B308" s="12" t="n">
        <v>2009</v>
      </c>
      <c r="C308" s="6" t="n">
        <v>2</v>
      </c>
    </row>
    <row r="309" customFormat="false" ht="15" hidden="false" customHeight="false" outlineLevel="0" collapsed="false">
      <c r="A309" s="12" t="s">
        <v>29</v>
      </c>
      <c r="B309" s="12" t="n">
        <v>2010</v>
      </c>
      <c r="C309" s="6" t="n">
        <v>4</v>
      </c>
    </row>
    <row r="310" customFormat="false" ht="15" hidden="false" customHeight="false" outlineLevel="0" collapsed="false">
      <c r="A310" s="12" t="s">
        <v>29</v>
      </c>
      <c r="B310" s="12" t="n">
        <v>2011</v>
      </c>
      <c r="C310" s="6" t="n">
        <v>8</v>
      </c>
    </row>
    <row r="311" customFormat="false" ht="15" hidden="false" customHeight="false" outlineLevel="0" collapsed="false">
      <c r="A311" s="12" t="s">
        <v>29</v>
      </c>
      <c r="B311" s="12" t="n">
        <v>2012</v>
      </c>
      <c r="C311" s="6" t="n">
        <v>6</v>
      </c>
    </row>
    <row r="312" customFormat="false" ht="15" hidden="false" customHeight="false" outlineLevel="0" collapsed="false">
      <c r="A312" s="12" t="s">
        <v>29</v>
      </c>
      <c r="B312" s="12" t="n">
        <v>2013</v>
      </c>
      <c r="C312" s="6" t="n">
        <v>13</v>
      </c>
    </row>
    <row r="313" customFormat="false" ht="15" hidden="false" customHeight="false" outlineLevel="0" collapsed="false">
      <c r="A313" s="12" t="s">
        <v>29</v>
      </c>
      <c r="B313" s="12" t="n">
        <v>2014</v>
      </c>
      <c r="C313" s="6" t="n">
        <v>22</v>
      </c>
    </row>
    <row r="314" customFormat="false" ht="15" hidden="false" customHeight="false" outlineLevel="0" collapsed="false">
      <c r="A314" s="12" t="s">
        <v>29</v>
      </c>
      <c r="B314" s="12" t="n">
        <v>2015</v>
      </c>
      <c r="C314" s="6" t="n">
        <v>25</v>
      </c>
    </row>
    <row r="315" customFormat="false" ht="15" hidden="false" customHeight="false" outlineLevel="0" collapsed="false">
      <c r="A315" s="12" t="s">
        <v>29</v>
      </c>
      <c r="B315" s="12" t="n">
        <v>2016</v>
      </c>
      <c r="C315" s="6" t="n">
        <v>27</v>
      </c>
    </row>
    <row r="316" customFormat="false" ht="15" hidden="false" customHeight="false" outlineLevel="0" collapsed="false">
      <c r="A316" s="12" t="s">
        <v>29</v>
      </c>
      <c r="B316" s="12" t="n">
        <v>2017</v>
      </c>
      <c r="C316" s="6" t="n">
        <v>26</v>
      </c>
    </row>
    <row r="317" customFormat="false" ht="15" hidden="false" customHeight="false" outlineLevel="0" collapsed="false">
      <c r="A317" s="12" t="s">
        <v>29</v>
      </c>
      <c r="B317" s="12" t="n">
        <v>2018</v>
      </c>
      <c r="C317" s="6" t="n">
        <v>61</v>
      </c>
    </row>
    <row r="318" customFormat="false" ht="15" hidden="false" customHeight="false" outlineLevel="0" collapsed="false">
      <c r="A318" s="12" t="s">
        <v>29</v>
      </c>
      <c r="B318" s="12" t="n">
        <v>2019</v>
      </c>
      <c r="C318" s="6" t="n">
        <v>71</v>
      </c>
    </row>
    <row r="319" customFormat="false" ht="15" hidden="false" customHeight="false" outlineLevel="0" collapsed="false">
      <c r="A319" s="12" t="s">
        <v>29</v>
      </c>
      <c r="B319" s="12" t="n">
        <v>2020</v>
      </c>
      <c r="C319" s="6" t="n">
        <v>88</v>
      </c>
    </row>
    <row r="320" customFormat="false" ht="15" hidden="false" customHeight="false" outlineLevel="0" collapsed="false">
      <c r="A320" s="12" t="s">
        <v>29</v>
      </c>
      <c r="B320" s="12" t="n">
        <v>2021</v>
      </c>
      <c r="C320" s="6" t="n">
        <v>122</v>
      </c>
    </row>
    <row r="321" customFormat="false" ht="15" hidden="false" customHeight="false" outlineLevel="0" collapsed="false">
      <c r="A321" s="12" t="s">
        <v>29</v>
      </c>
      <c r="B321" s="12" t="n">
        <v>2022</v>
      </c>
      <c r="C321" s="6" t="n">
        <v>127</v>
      </c>
    </row>
    <row r="322" customFormat="false" ht="15" hidden="false" customHeight="false" outlineLevel="0" collapsed="false">
      <c r="A322" s="12" t="s">
        <v>29</v>
      </c>
      <c r="B322" s="12" t="n">
        <v>2023</v>
      </c>
      <c r="C322" s="6" t="n">
        <v>145</v>
      </c>
    </row>
    <row r="323" customFormat="false" ht="15" hidden="false" customHeight="false" outlineLevel="0" collapsed="false">
      <c r="A323" s="12" t="s">
        <v>29</v>
      </c>
      <c r="B323" s="12" t="n">
        <v>2024</v>
      </c>
      <c r="C323" s="6" t="n">
        <v>181</v>
      </c>
    </row>
    <row r="324" customFormat="false" ht="15" hidden="false" customHeight="false" outlineLevel="0" collapsed="false">
      <c r="A324" s="12" t="s">
        <v>29</v>
      </c>
      <c r="B324" s="12" t="n">
        <v>2025</v>
      </c>
      <c r="C324" s="6" t="n">
        <v>229</v>
      </c>
    </row>
    <row r="325" customFormat="false" ht="15" hidden="false" customHeight="false" outlineLevel="0" collapsed="false">
      <c r="A325" s="12" t="s">
        <v>29</v>
      </c>
      <c r="B325" s="12" t="n">
        <v>2026</v>
      </c>
      <c r="C325" s="6" t="n">
        <v>196</v>
      </c>
    </row>
    <row r="326" customFormat="false" ht="15" hidden="false" customHeight="false" outlineLevel="0" collapsed="false">
      <c r="A326" s="12" t="s">
        <v>54</v>
      </c>
      <c r="B326" s="12" t="n">
        <v>2013</v>
      </c>
      <c r="C326" s="6" t="n">
        <v>1</v>
      </c>
    </row>
    <row r="327" customFormat="false" ht="15" hidden="false" customHeight="false" outlineLevel="0" collapsed="false">
      <c r="A327" s="12" t="s">
        <v>54</v>
      </c>
      <c r="B327" s="12" t="n">
        <v>2014</v>
      </c>
      <c r="C327" s="6" t="n">
        <v>1</v>
      </c>
    </row>
    <row r="328" customFormat="false" ht="15" hidden="false" customHeight="false" outlineLevel="0" collapsed="false">
      <c r="A328" s="12" t="s">
        <v>54</v>
      </c>
      <c r="B328" s="12" t="n">
        <v>2016</v>
      </c>
      <c r="C328" s="6" t="n">
        <v>1</v>
      </c>
    </row>
    <row r="329" customFormat="false" ht="15" hidden="false" customHeight="false" outlineLevel="0" collapsed="false">
      <c r="A329" s="12" t="s">
        <v>54</v>
      </c>
      <c r="B329" s="12" t="n">
        <v>2017</v>
      </c>
      <c r="C329" s="6" t="n">
        <v>2</v>
      </c>
    </row>
    <row r="330" customFormat="false" ht="15" hidden="false" customHeight="false" outlineLevel="0" collapsed="false">
      <c r="A330" s="12" t="s">
        <v>54</v>
      </c>
      <c r="B330" s="12" t="n">
        <v>2018</v>
      </c>
      <c r="C330" s="6" t="n">
        <v>1</v>
      </c>
    </row>
    <row r="331" customFormat="false" ht="15" hidden="false" customHeight="false" outlineLevel="0" collapsed="false">
      <c r="A331" s="12" t="s">
        <v>54</v>
      </c>
      <c r="B331" s="12" t="n">
        <v>2019</v>
      </c>
      <c r="C331" s="6" t="n">
        <v>1</v>
      </c>
    </row>
    <row r="332" customFormat="false" ht="15" hidden="false" customHeight="false" outlineLevel="0" collapsed="false">
      <c r="A332" s="12" t="s">
        <v>54</v>
      </c>
      <c r="B332" s="12" t="n">
        <v>2020</v>
      </c>
      <c r="C332" s="6" t="n">
        <v>3</v>
      </c>
    </row>
    <row r="333" customFormat="false" ht="15" hidden="false" customHeight="false" outlineLevel="0" collapsed="false">
      <c r="A333" s="12" t="s">
        <v>54</v>
      </c>
      <c r="B333" s="12" t="n">
        <v>2021</v>
      </c>
      <c r="C333" s="6" t="n">
        <v>5</v>
      </c>
    </row>
    <row r="334" customFormat="false" ht="15" hidden="false" customHeight="false" outlineLevel="0" collapsed="false">
      <c r="A334" s="12" t="s">
        <v>54</v>
      </c>
      <c r="B334" s="12" t="n">
        <v>2022</v>
      </c>
      <c r="C334" s="6" t="n">
        <v>3</v>
      </c>
    </row>
    <row r="335" customFormat="false" ht="15" hidden="false" customHeight="false" outlineLevel="0" collapsed="false">
      <c r="A335" s="12" t="s">
        <v>54</v>
      </c>
      <c r="B335" s="12" t="n">
        <v>2023</v>
      </c>
      <c r="C335" s="6" t="n">
        <v>7</v>
      </c>
    </row>
    <row r="336" customFormat="false" ht="15" hidden="false" customHeight="false" outlineLevel="0" collapsed="false">
      <c r="A336" s="12" t="s">
        <v>54</v>
      </c>
      <c r="B336" s="12" t="n">
        <v>2024</v>
      </c>
      <c r="C336" s="6" t="n">
        <v>4</v>
      </c>
    </row>
    <row r="337" customFormat="false" ht="15" hidden="false" customHeight="false" outlineLevel="0" collapsed="false">
      <c r="A337" s="12" t="s">
        <v>54</v>
      </c>
      <c r="B337" s="12" t="n">
        <v>2025</v>
      </c>
      <c r="C337" s="6" t="n">
        <v>10</v>
      </c>
    </row>
    <row r="338" customFormat="false" ht="15" hidden="false" customHeight="false" outlineLevel="0" collapsed="false">
      <c r="A338" s="12" t="s">
        <v>19</v>
      </c>
      <c r="B338" s="12" t="n">
        <v>2000</v>
      </c>
      <c r="C338" s="6" t="n">
        <v>560</v>
      </c>
    </row>
    <row r="339" customFormat="false" ht="15" hidden="false" customHeight="false" outlineLevel="0" collapsed="false">
      <c r="A339" s="12" t="s">
        <v>19</v>
      </c>
      <c r="B339" s="12" t="n">
        <v>2001</v>
      </c>
      <c r="C339" s="6" t="n">
        <v>585</v>
      </c>
    </row>
    <row r="340" customFormat="false" ht="15" hidden="false" customHeight="false" outlineLevel="0" collapsed="false">
      <c r="A340" s="12" t="s">
        <v>19</v>
      </c>
      <c r="B340" s="12" t="n">
        <v>2002</v>
      </c>
      <c r="C340" s="6" t="n">
        <v>632</v>
      </c>
    </row>
    <row r="341" customFormat="false" ht="15" hidden="false" customHeight="false" outlineLevel="0" collapsed="false">
      <c r="A341" s="12" t="s">
        <v>19</v>
      </c>
      <c r="B341" s="12" t="n">
        <v>2003</v>
      </c>
      <c r="C341" s="6" t="n">
        <v>747</v>
      </c>
    </row>
    <row r="342" customFormat="false" ht="15" hidden="false" customHeight="false" outlineLevel="0" collapsed="false">
      <c r="A342" s="12" t="s">
        <v>19</v>
      </c>
      <c r="B342" s="12" t="n">
        <v>2004</v>
      </c>
      <c r="C342" s="6" t="n">
        <v>976</v>
      </c>
    </row>
    <row r="343" customFormat="false" ht="15" hidden="false" customHeight="false" outlineLevel="0" collapsed="false">
      <c r="A343" s="12" t="s">
        <v>19</v>
      </c>
      <c r="B343" s="12" t="n">
        <v>2005</v>
      </c>
      <c r="C343" s="6" t="n">
        <v>967</v>
      </c>
    </row>
    <row r="344" customFormat="false" ht="15" hidden="false" customHeight="false" outlineLevel="0" collapsed="false">
      <c r="A344" s="12" t="s">
        <v>19</v>
      </c>
      <c r="B344" s="12" t="n">
        <v>2006</v>
      </c>
      <c r="C344" s="6" t="n">
        <v>1134</v>
      </c>
    </row>
    <row r="345" customFormat="false" ht="15" hidden="false" customHeight="false" outlineLevel="0" collapsed="false">
      <c r="A345" s="12" t="s">
        <v>19</v>
      </c>
      <c r="B345" s="12" t="n">
        <v>2007</v>
      </c>
      <c r="C345" s="6" t="n">
        <v>1302</v>
      </c>
    </row>
    <row r="346" customFormat="false" ht="15" hidden="false" customHeight="false" outlineLevel="0" collapsed="false">
      <c r="A346" s="12" t="s">
        <v>19</v>
      </c>
      <c r="B346" s="12" t="n">
        <v>2008</v>
      </c>
      <c r="C346" s="6" t="n">
        <v>1465</v>
      </c>
    </row>
    <row r="347" customFormat="false" ht="15" hidden="false" customHeight="false" outlineLevel="0" collapsed="false">
      <c r="A347" s="12" t="s">
        <v>19</v>
      </c>
      <c r="B347" s="12" t="n">
        <v>2009</v>
      </c>
      <c r="C347" s="6" t="n">
        <v>1694</v>
      </c>
    </row>
    <row r="348" customFormat="false" ht="15" hidden="false" customHeight="false" outlineLevel="0" collapsed="false">
      <c r="A348" s="12" t="s">
        <v>19</v>
      </c>
      <c r="B348" s="12" t="n">
        <v>2010</v>
      </c>
      <c r="C348" s="6" t="n">
        <v>1904</v>
      </c>
    </row>
    <row r="349" customFormat="false" ht="15" hidden="false" customHeight="false" outlineLevel="0" collapsed="false">
      <c r="A349" s="12" t="s">
        <v>19</v>
      </c>
      <c r="B349" s="12" t="n">
        <v>2011</v>
      </c>
      <c r="C349" s="6" t="n">
        <v>2194</v>
      </c>
    </row>
    <row r="350" customFormat="false" ht="15" hidden="false" customHeight="false" outlineLevel="0" collapsed="false">
      <c r="A350" s="12" t="s">
        <v>19</v>
      </c>
      <c r="B350" s="12" t="n">
        <v>2012</v>
      </c>
      <c r="C350" s="6" t="n">
        <v>2763</v>
      </c>
    </row>
    <row r="351" customFormat="false" ht="15" hidden="false" customHeight="false" outlineLevel="0" collapsed="false">
      <c r="A351" s="12" t="s">
        <v>19</v>
      </c>
      <c r="B351" s="12" t="n">
        <v>2013</v>
      </c>
      <c r="C351" s="6" t="n">
        <v>3478</v>
      </c>
    </row>
    <row r="352" customFormat="false" ht="15" hidden="false" customHeight="false" outlineLevel="0" collapsed="false">
      <c r="A352" s="12" t="s">
        <v>19</v>
      </c>
      <c r="B352" s="12" t="n">
        <v>2014</v>
      </c>
      <c r="C352" s="6" t="n">
        <v>3948</v>
      </c>
    </row>
    <row r="353" customFormat="false" ht="15" hidden="false" customHeight="false" outlineLevel="0" collapsed="false">
      <c r="A353" s="12" t="s">
        <v>19</v>
      </c>
      <c r="B353" s="12" t="n">
        <v>2015</v>
      </c>
      <c r="C353" s="6" t="n">
        <v>4811</v>
      </c>
    </row>
    <row r="354" customFormat="false" ht="15" hidden="false" customHeight="false" outlineLevel="0" collapsed="false">
      <c r="A354" s="12" t="s">
        <v>19</v>
      </c>
      <c r="B354" s="12" t="n">
        <v>2016</v>
      </c>
      <c r="C354" s="6" t="n">
        <v>5887</v>
      </c>
    </row>
    <row r="355" customFormat="false" ht="15" hidden="false" customHeight="false" outlineLevel="0" collapsed="false">
      <c r="A355" s="12" t="s">
        <v>19</v>
      </c>
      <c r="B355" s="12" t="n">
        <v>2017</v>
      </c>
      <c r="C355" s="6" t="n">
        <v>6516</v>
      </c>
    </row>
    <row r="356" customFormat="false" ht="15" hidden="false" customHeight="false" outlineLevel="0" collapsed="false">
      <c r="A356" s="12" t="s">
        <v>19</v>
      </c>
      <c r="B356" s="12" t="n">
        <v>2018</v>
      </c>
      <c r="C356" s="6" t="n">
        <v>8076</v>
      </c>
    </row>
    <row r="357" customFormat="false" ht="15" hidden="false" customHeight="false" outlineLevel="0" collapsed="false">
      <c r="A357" s="12" t="s">
        <v>19</v>
      </c>
      <c r="B357" s="12" t="n">
        <v>2019</v>
      </c>
      <c r="C357" s="6" t="n">
        <v>9779</v>
      </c>
    </row>
    <row r="358" customFormat="false" ht="15" hidden="false" customHeight="false" outlineLevel="0" collapsed="false">
      <c r="A358" s="12" t="s">
        <v>19</v>
      </c>
      <c r="B358" s="12" t="n">
        <v>2020</v>
      </c>
      <c r="C358" s="6" t="n">
        <v>11394</v>
      </c>
    </row>
    <row r="359" customFormat="false" ht="15" hidden="false" customHeight="false" outlineLevel="0" collapsed="false">
      <c r="A359" s="12" t="s">
        <v>19</v>
      </c>
      <c r="B359" s="12" t="n">
        <v>2021</v>
      </c>
      <c r="C359" s="6" t="n">
        <v>12500</v>
      </c>
    </row>
    <row r="360" customFormat="false" ht="15" hidden="false" customHeight="false" outlineLevel="0" collapsed="false">
      <c r="A360" s="12" t="s">
        <v>19</v>
      </c>
      <c r="B360" s="12" t="n">
        <v>2022</v>
      </c>
      <c r="C360" s="6" t="n">
        <v>13379</v>
      </c>
    </row>
    <row r="361" customFormat="false" ht="15" hidden="false" customHeight="false" outlineLevel="0" collapsed="false">
      <c r="A361" s="12" t="s">
        <v>19</v>
      </c>
      <c r="B361" s="12" t="n">
        <v>2023</v>
      </c>
      <c r="C361" s="6" t="n">
        <v>15001</v>
      </c>
    </row>
    <row r="362" customFormat="false" ht="15" hidden="false" customHeight="false" outlineLevel="0" collapsed="false">
      <c r="A362" s="12" t="s">
        <v>19</v>
      </c>
      <c r="B362" s="12" t="n">
        <v>2024</v>
      </c>
      <c r="C362" s="6" t="n">
        <v>18611</v>
      </c>
    </row>
    <row r="363" customFormat="false" ht="15" hidden="false" customHeight="false" outlineLevel="0" collapsed="false">
      <c r="A363" s="12" t="s">
        <v>19</v>
      </c>
      <c r="B363" s="12" t="n">
        <v>2025</v>
      </c>
      <c r="C363" s="6" t="n">
        <v>25662</v>
      </c>
    </row>
    <row r="364" customFormat="false" ht="15" hidden="false" customHeight="false" outlineLevel="0" collapsed="false">
      <c r="A364" s="12" t="s">
        <v>19</v>
      </c>
      <c r="B364" s="12" t="n">
        <v>2026</v>
      </c>
      <c r="C364" s="6" t="n">
        <v>20717</v>
      </c>
    </row>
    <row r="365" customFormat="false" ht="15" hidden="false" customHeight="false" outlineLevel="0" collapsed="false">
      <c r="A365" s="12" t="s">
        <v>22</v>
      </c>
      <c r="B365" s="12" t="n">
        <v>2000</v>
      </c>
      <c r="C365" s="6" t="n">
        <v>2859065</v>
      </c>
    </row>
    <row r="366" customFormat="false" ht="15" hidden="false" customHeight="false" outlineLevel="0" collapsed="false">
      <c r="A366" s="12" t="s">
        <v>22</v>
      </c>
      <c r="B366" s="12" t="n">
        <v>2001</v>
      </c>
      <c r="C366" s="6" t="n">
        <v>2818431</v>
      </c>
    </row>
    <row r="367" customFormat="false" ht="15" hidden="false" customHeight="false" outlineLevel="0" collapsed="false">
      <c r="A367" s="12" t="s">
        <v>22</v>
      </c>
      <c r="B367" s="12" t="n">
        <v>2002</v>
      </c>
      <c r="C367" s="6" t="n">
        <v>3050120</v>
      </c>
    </row>
    <row r="368" customFormat="false" ht="15" hidden="false" customHeight="false" outlineLevel="0" collapsed="false">
      <c r="A368" s="12" t="s">
        <v>22</v>
      </c>
      <c r="B368" s="12" t="n">
        <v>2003</v>
      </c>
      <c r="C368" s="6" t="n">
        <v>3336963</v>
      </c>
    </row>
    <row r="369" customFormat="false" ht="15" hidden="false" customHeight="false" outlineLevel="0" collapsed="false">
      <c r="A369" s="12" t="s">
        <v>22</v>
      </c>
      <c r="B369" s="12" t="n">
        <v>2004</v>
      </c>
      <c r="C369" s="6" t="n">
        <v>3609553</v>
      </c>
    </row>
    <row r="370" customFormat="false" ht="15" hidden="false" customHeight="false" outlineLevel="0" collapsed="false">
      <c r="A370" s="12" t="s">
        <v>22</v>
      </c>
      <c r="B370" s="12" t="n">
        <v>2005</v>
      </c>
      <c r="C370" s="6" t="n">
        <v>3845572</v>
      </c>
    </row>
    <row r="371" customFormat="false" ht="15" hidden="false" customHeight="false" outlineLevel="0" collapsed="false">
      <c r="A371" s="12" t="s">
        <v>22</v>
      </c>
      <c r="B371" s="12" t="n">
        <v>2006</v>
      </c>
      <c r="C371" s="6" t="n">
        <v>4178171</v>
      </c>
    </row>
    <row r="372" customFormat="false" ht="15" hidden="false" customHeight="false" outlineLevel="0" collapsed="false">
      <c r="A372" s="12" t="s">
        <v>22</v>
      </c>
      <c r="B372" s="12" t="n">
        <v>2007</v>
      </c>
      <c r="C372" s="6" t="n">
        <v>4420227</v>
      </c>
    </row>
    <row r="373" customFormat="false" ht="15" hidden="false" customHeight="false" outlineLevel="0" collapsed="false">
      <c r="A373" s="12" t="s">
        <v>22</v>
      </c>
      <c r="B373" s="12" t="n">
        <v>2008</v>
      </c>
      <c r="C373" s="6" t="n">
        <v>4844941</v>
      </c>
    </row>
    <row r="374" customFormat="false" ht="15" hidden="false" customHeight="false" outlineLevel="0" collapsed="false">
      <c r="A374" s="12" t="s">
        <v>22</v>
      </c>
      <c r="B374" s="12" t="n">
        <v>2009</v>
      </c>
      <c r="C374" s="6" t="n">
        <v>5126531</v>
      </c>
    </row>
    <row r="375" customFormat="false" ht="15" hidden="false" customHeight="false" outlineLevel="0" collapsed="false">
      <c r="A375" s="12" t="s">
        <v>22</v>
      </c>
      <c r="B375" s="12" t="n">
        <v>2010</v>
      </c>
      <c r="C375" s="6" t="n">
        <v>5415093</v>
      </c>
    </row>
    <row r="376" customFormat="false" ht="15" hidden="false" customHeight="false" outlineLevel="0" collapsed="false">
      <c r="A376" s="12" t="s">
        <v>22</v>
      </c>
      <c r="B376" s="12" t="n">
        <v>2011</v>
      </c>
      <c r="C376" s="6" t="n">
        <v>5684721</v>
      </c>
    </row>
    <row r="377" customFormat="false" ht="15" hidden="false" customHeight="false" outlineLevel="0" collapsed="false">
      <c r="A377" s="12" t="s">
        <v>22</v>
      </c>
      <c r="B377" s="12" t="n">
        <v>2012</v>
      </c>
      <c r="C377" s="6" t="n">
        <v>5916987</v>
      </c>
    </row>
    <row r="378" customFormat="false" ht="15" hidden="false" customHeight="false" outlineLevel="0" collapsed="false">
      <c r="A378" s="12" t="s">
        <v>22</v>
      </c>
      <c r="B378" s="12" t="n">
        <v>2013</v>
      </c>
      <c r="C378" s="6" t="n">
        <v>6187616</v>
      </c>
    </row>
    <row r="379" customFormat="false" ht="15" hidden="false" customHeight="false" outlineLevel="0" collapsed="false">
      <c r="A379" s="12" t="s">
        <v>22</v>
      </c>
      <c r="B379" s="12" t="n">
        <v>2014</v>
      </c>
      <c r="C379" s="6" t="n">
        <v>6383216</v>
      </c>
    </row>
    <row r="380" customFormat="false" ht="15" hidden="false" customHeight="false" outlineLevel="0" collapsed="false">
      <c r="A380" s="12" t="s">
        <v>22</v>
      </c>
      <c r="B380" s="12" t="n">
        <v>2015</v>
      </c>
      <c r="C380" s="6" t="n">
        <v>6450528</v>
      </c>
    </row>
    <row r="381" customFormat="false" ht="15" hidden="false" customHeight="false" outlineLevel="0" collapsed="false">
      <c r="A381" s="12" t="s">
        <v>22</v>
      </c>
      <c r="B381" s="12" t="n">
        <v>2016</v>
      </c>
      <c r="C381" s="6" t="n">
        <v>6461027</v>
      </c>
    </row>
    <row r="382" customFormat="false" ht="15" hidden="false" customHeight="false" outlineLevel="0" collapsed="false">
      <c r="A382" s="12" t="s">
        <v>22</v>
      </c>
      <c r="B382" s="12" t="n">
        <v>2017</v>
      </c>
      <c r="C382" s="6" t="n">
        <v>6145813</v>
      </c>
    </row>
    <row r="383" customFormat="false" ht="15" hidden="false" customHeight="false" outlineLevel="0" collapsed="false">
      <c r="A383" s="12" t="s">
        <v>22</v>
      </c>
      <c r="B383" s="12" t="n">
        <v>2018</v>
      </c>
      <c r="C383" s="6" t="n">
        <v>5995254</v>
      </c>
    </row>
    <row r="384" customFormat="false" ht="15" hidden="false" customHeight="false" outlineLevel="0" collapsed="false">
      <c r="A384" s="12" t="s">
        <v>22</v>
      </c>
      <c r="B384" s="12" t="n">
        <v>2019</v>
      </c>
      <c r="C384" s="6" t="n">
        <v>6258798</v>
      </c>
    </row>
    <row r="385" customFormat="false" ht="15" hidden="false" customHeight="false" outlineLevel="0" collapsed="false">
      <c r="A385" s="12" t="s">
        <v>22</v>
      </c>
      <c r="B385" s="12" t="n">
        <v>2020</v>
      </c>
      <c r="C385" s="6" t="n">
        <v>6602263</v>
      </c>
    </row>
    <row r="386" customFormat="false" ht="15" hidden="false" customHeight="false" outlineLevel="0" collapsed="false">
      <c r="A386" s="12" t="s">
        <v>22</v>
      </c>
      <c r="B386" s="12" t="n">
        <v>2021</v>
      </c>
      <c r="C386" s="6" t="n">
        <v>6126873</v>
      </c>
    </row>
    <row r="387" customFormat="false" ht="15" hidden="false" customHeight="false" outlineLevel="0" collapsed="false">
      <c r="A387" s="12" t="s">
        <v>22</v>
      </c>
      <c r="B387" s="12" t="n">
        <v>2022</v>
      </c>
      <c r="C387" s="6" t="n">
        <v>5606541</v>
      </c>
    </row>
    <row r="388" customFormat="false" ht="15" hidden="false" customHeight="false" outlineLevel="0" collapsed="false">
      <c r="A388" s="12" t="s">
        <v>22</v>
      </c>
      <c r="B388" s="12" t="n">
        <v>2023</v>
      </c>
      <c r="C388" s="6" t="n">
        <v>5743340</v>
      </c>
    </row>
    <row r="389" customFormat="false" ht="15" hidden="false" customHeight="false" outlineLevel="0" collapsed="false">
      <c r="A389" s="12" t="s">
        <v>22</v>
      </c>
      <c r="B389" s="12" t="n">
        <v>2024</v>
      </c>
      <c r="C389" s="6" t="n">
        <v>6073854</v>
      </c>
    </row>
    <row r="390" customFormat="false" ht="15" hidden="false" customHeight="false" outlineLevel="0" collapsed="false">
      <c r="A390" s="12" t="s">
        <v>22</v>
      </c>
      <c r="B390" s="12" t="n">
        <v>2025</v>
      </c>
      <c r="C390" s="6" t="n">
        <v>7188012</v>
      </c>
    </row>
    <row r="391" customFormat="false" ht="15" hidden="false" customHeight="false" outlineLevel="0" collapsed="false">
      <c r="A391" s="12" t="s">
        <v>22</v>
      </c>
      <c r="B391" s="12" t="n">
        <v>2026</v>
      </c>
      <c r="C391" s="6" t="n">
        <v>5569632</v>
      </c>
    </row>
    <row r="392" customFormat="false" ht="15" hidden="false" customHeight="false" outlineLevel="0" collapsed="false">
      <c r="A392" s="12" t="s">
        <v>31</v>
      </c>
      <c r="B392" s="12" t="n">
        <v>2005</v>
      </c>
      <c r="C392" s="6" t="n">
        <v>3176</v>
      </c>
    </row>
    <row r="393" customFormat="false" ht="15" hidden="false" customHeight="false" outlineLevel="0" collapsed="false">
      <c r="A393" s="12" t="s">
        <v>31</v>
      </c>
      <c r="B393" s="12" t="n">
        <v>2006</v>
      </c>
      <c r="C393" s="6" t="n">
        <v>3835</v>
      </c>
    </row>
    <row r="394" customFormat="false" ht="15" hidden="false" customHeight="false" outlineLevel="0" collapsed="false">
      <c r="A394" s="12" t="s">
        <v>31</v>
      </c>
      <c r="B394" s="12" t="n">
        <v>2007</v>
      </c>
      <c r="C394" s="6" t="n">
        <v>4755</v>
      </c>
    </row>
    <row r="395" customFormat="false" ht="15" hidden="false" customHeight="false" outlineLevel="0" collapsed="false">
      <c r="A395" s="12" t="s">
        <v>31</v>
      </c>
      <c r="B395" s="12" t="n">
        <v>2008</v>
      </c>
      <c r="C395" s="6" t="n">
        <v>6456</v>
      </c>
    </row>
    <row r="396" customFormat="false" ht="15" hidden="false" customHeight="false" outlineLevel="0" collapsed="false">
      <c r="A396" s="12" t="s">
        <v>31</v>
      </c>
      <c r="B396" s="12" t="n">
        <v>2009</v>
      </c>
      <c r="C396" s="6" t="n">
        <v>7275</v>
      </c>
    </row>
    <row r="397" customFormat="false" ht="15" hidden="false" customHeight="false" outlineLevel="0" collapsed="false">
      <c r="A397" s="12" t="s">
        <v>31</v>
      </c>
      <c r="B397" s="12" t="n">
        <v>2010</v>
      </c>
      <c r="C397" s="6" t="n">
        <v>7775</v>
      </c>
    </row>
    <row r="398" customFormat="false" ht="15" hidden="false" customHeight="false" outlineLevel="0" collapsed="false">
      <c r="A398" s="12" t="s">
        <v>31</v>
      </c>
      <c r="B398" s="12" t="n">
        <v>2011</v>
      </c>
      <c r="C398" s="6" t="n">
        <v>8367</v>
      </c>
    </row>
    <row r="399" customFormat="false" ht="15" hidden="false" customHeight="false" outlineLevel="0" collapsed="false">
      <c r="A399" s="12" t="s">
        <v>31</v>
      </c>
      <c r="B399" s="12" t="n">
        <v>2012</v>
      </c>
      <c r="C399" s="6" t="n">
        <v>8778</v>
      </c>
    </row>
    <row r="400" customFormat="false" ht="15" hidden="false" customHeight="false" outlineLevel="0" collapsed="false">
      <c r="A400" s="12" t="s">
        <v>31</v>
      </c>
      <c r="B400" s="12" t="n">
        <v>2013</v>
      </c>
      <c r="C400" s="6" t="n">
        <v>8803</v>
      </c>
    </row>
    <row r="401" customFormat="false" ht="15" hidden="false" customHeight="false" outlineLevel="0" collapsed="false">
      <c r="A401" s="12" t="s">
        <v>31</v>
      </c>
      <c r="B401" s="12" t="n">
        <v>2014</v>
      </c>
      <c r="C401" s="6" t="n">
        <v>9278</v>
      </c>
    </row>
    <row r="402" customFormat="false" ht="15" hidden="false" customHeight="false" outlineLevel="0" collapsed="false">
      <c r="A402" s="12" t="s">
        <v>31</v>
      </c>
      <c r="B402" s="12" t="n">
        <v>2015</v>
      </c>
      <c r="C402" s="6" t="n">
        <v>9386</v>
      </c>
    </row>
    <row r="403" customFormat="false" ht="15" hidden="false" customHeight="false" outlineLevel="0" collapsed="false">
      <c r="A403" s="12" t="s">
        <v>31</v>
      </c>
      <c r="B403" s="12" t="n">
        <v>2016</v>
      </c>
      <c r="C403" s="6" t="n">
        <v>10105</v>
      </c>
    </row>
    <row r="404" customFormat="false" ht="15" hidden="false" customHeight="false" outlineLevel="0" collapsed="false">
      <c r="A404" s="12" t="s">
        <v>31</v>
      </c>
      <c r="B404" s="12" t="n">
        <v>2017</v>
      </c>
      <c r="C404" s="6" t="n">
        <v>9870</v>
      </c>
    </row>
    <row r="405" customFormat="false" ht="15" hidden="false" customHeight="false" outlineLevel="0" collapsed="false">
      <c r="A405" s="12" t="s">
        <v>31</v>
      </c>
      <c r="B405" s="12" t="n">
        <v>2018</v>
      </c>
      <c r="C405" s="6" t="n">
        <v>10719</v>
      </c>
    </row>
    <row r="406" customFormat="false" ht="15" hidden="false" customHeight="false" outlineLevel="0" collapsed="false">
      <c r="A406" s="12" t="s">
        <v>31</v>
      </c>
      <c r="B406" s="12" t="n">
        <v>2019</v>
      </c>
      <c r="C406" s="6" t="n">
        <v>10229</v>
      </c>
    </row>
    <row r="407" customFormat="false" ht="15" hidden="false" customHeight="false" outlineLevel="0" collapsed="false">
      <c r="A407" s="12" t="s">
        <v>31</v>
      </c>
      <c r="B407" s="12" t="n">
        <v>2020</v>
      </c>
      <c r="C407" s="6" t="n">
        <v>11037</v>
      </c>
    </row>
    <row r="408" customFormat="false" ht="15" hidden="false" customHeight="false" outlineLevel="0" collapsed="false">
      <c r="A408" s="12" t="s">
        <v>31</v>
      </c>
      <c r="B408" s="12" t="n">
        <v>2021</v>
      </c>
      <c r="C408" s="6" t="n">
        <v>11502</v>
      </c>
    </row>
    <row r="409" customFormat="false" ht="15" hidden="false" customHeight="false" outlineLevel="0" collapsed="false">
      <c r="A409" s="12" t="s">
        <v>31</v>
      </c>
      <c r="B409" s="12" t="n">
        <v>2022</v>
      </c>
      <c r="C409" s="6" t="n">
        <v>11531</v>
      </c>
    </row>
    <row r="410" customFormat="false" ht="15" hidden="false" customHeight="false" outlineLevel="0" collapsed="false">
      <c r="A410" s="12" t="s">
        <v>31</v>
      </c>
      <c r="B410" s="12" t="n">
        <v>2023</v>
      </c>
      <c r="C410" s="6" t="n">
        <v>11643</v>
      </c>
    </row>
    <row r="411" customFormat="false" ht="15" hidden="false" customHeight="false" outlineLevel="0" collapsed="false">
      <c r="A411" s="12" t="s">
        <v>31</v>
      </c>
      <c r="B411" s="12" t="n">
        <v>2024</v>
      </c>
      <c r="C411" s="6" t="n">
        <v>12081</v>
      </c>
    </row>
    <row r="412" customFormat="false" ht="15" hidden="false" customHeight="false" outlineLevel="0" collapsed="false">
      <c r="A412" s="12" t="s">
        <v>31</v>
      </c>
      <c r="B412" s="12" t="n">
        <v>2025</v>
      </c>
      <c r="C412" s="6" t="n">
        <v>13373</v>
      </c>
    </row>
    <row r="413" customFormat="false" ht="15" hidden="false" customHeight="false" outlineLevel="0" collapsed="false">
      <c r="A413" s="12" t="s">
        <v>15</v>
      </c>
      <c r="B413" s="12" t="n">
        <v>2000</v>
      </c>
      <c r="C413" s="6" t="n">
        <v>33</v>
      </c>
    </row>
    <row r="414" customFormat="false" ht="15" hidden="false" customHeight="false" outlineLevel="0" collapsed="false">
      <c r="A414" s="12" t="s">
        <v>15</v>
      </c>
      <c r="B414" s="12" t="n">
        <v>2001</v>
      </c>
      <c r="C414" s="6" t="n">
        <v>31</v>
      </c>
    </row>
    <row r="415" customFormat="false" ht="15" hidden="false" customHeight="false" outlineLevel="0" collapsed="false">
      <c r="A415" s="12" t="s">
        <v>15</v>
      </c>
      <c r="B415" s="12" t="n">
        <v>2002</v>
      </c>
      <c r="C415" s="6" t="n">
        <v>26</v>
      </c>
    </row>
    <row r="416" customFormat="false" ht="15" hidden="false" customHeight="false" outlineLevel="0" collapsed="false">
      <c r="A416" s="12" t="s">
        <v>15</v>
      </c>
      <c r="B416" s="12" t="n">
        <v>2003</v>
      </c>
      <c r="C416" s="6" t="n">
        <v>25</v>
      </c>
    </row>
    <row r="417" customFormat="false" ht="15" hidden="false" customHeight="false" outlineLevel="0" collapsed="false">
      <c r="A417" s="12" t="s">
        <v>15</v>
      </c>
      <c r="B417" s="12" t="n">
        <v>2004</v>
      </c>
      <c r="C417" s="6" t="n">
        <v>44</v>
      </c>
    </row>
    <row r="418" customFormat="false" ht="15" hidden="false" customHeight="false" outlineLevel="0" collapsed="false">
      <c r="A418" s="12" t="s">
        <v>15</v>
      </c>
      <c r="B418" s="12" t="n">
        <v>2005</v>
      </c>
      <c r="C418" s="6" t="n">
        <v>29</v>
      </c>
    </row>
    <row r="419" customFormat="false" ht="15" hidden="false" customHeight="false" outlineLevel="0" collapsed="false">
      <c r="A419" s="12" t="s">
        <v>15</v>
      </c>
      <c r="B419" s="12" t="n">
        <v>2006</v>
      </c>
      <c r="C419" s="6" t="n">
        <v>38</v>
      </c>
    </row>
    <row r="420" customFormat="false" ht="15" hidden="false" customHeight="false" outlineLevel="0" collapsed="false">
      <c r="A420" s="12" t="s">
        <v>15</v>
      </c>
      <c r="B420" s="12" t="n">
        <v>2007</v>
      </c>
      <c r="C420" s="6" t="n">
        <v>48</v>
      </c>
    </row>
    <row r="421" customFormat="false" ht="15" hidden="false" customHeight="false" outlineLevel="0" collapsed="false">
      <c r="A421" s="12" t="s">
        <v>15</v>
      </c>
      <c r="B421" s="12" t="n">
        <v>2008</v>
      </c>
      <c r="C421" s="6" t="n">
        <v>39</v>
      </c>
    </row>
    <row r="422" customFormat="false" ht="15" hidden="false" customHeight="false" outlineLevel="0" collapsed="false">
      <c r="A422" s="12" t="s">
        <v>15</v>
      </c>
      <c r="B422" s="12" t="n">
        <v>2009</v>
      </c>
      <c r="C422" s="6" t="n">
        <v>57</v>
      </c>
    </row>
    <row r="423" customFormat="false" ht="15" hidden="false" customHeight="false" outlineLevel="0" collapsed="false">
      <c r="A423" s="12" t="s">
        <v>15</v>
      </c>
      <c r="B423" s="12" t="n">
        <v>2010</v>
      </c>
      <c r="C423" s="6" t="n">
        <v>62</v>
      </c>
    </row>
    <row r="424" customFormat="false" ht="15" hidden="false" customHeight="false" outlineLevel="0" collapsed="false">
      <c r="A424" s="12" t="s">
        <v>15</v>
      </c>
      <c r="B424" s="12" t="n">
        <v>2011</v>
      </c>
      <c r="C424" s="6" t="n">
        <v>80</v>
      </c>
    </row>
    <row r="425" customFormat="false" ht="15" hidden="false" customHeight="false" outlineLevel="0" collapsed="false">
      <c r="A425" s="12" t="s">
        <v>15</v>
      </c>
      <c r="B425" s="12" t="n">
        <v>2012</v>
      </c>
      <c r="C425" s="6" t="n">
        <v>126</v>
      </c>
    </row>
    <row r="426" customFormat="false" ht="15" hidden="false" customHeight="false" outlineLevel="0" collapsed="false">
      <c r="A426" s="12" t="s">
        <v>15</v>
      </c>
      <c r="B426" s="12" t="n">
        <v>2013</v>
      </c>
      <c r="C426" s="6" t="n">
        <v>171</v>
      </c>
    </row>
    <row r="427" customFormat="false" ht="15" hidden="false" customHeight="false" outlineLevel="0" collapsed="false">
      <c r="A427" s="12" t="s">
        <v>15</v>
      </c>
      <c r="B427" s="12" t="n">
        <v>2014</v>
      </c>
      <c r="C427" s="6" t="n">
        <v>233</v>
      </c>
    </row>
    <row r="428" customFormat="false" ht="15" hidden="false" customHeight="false" outlineLevel="0" collapsed="false">
      <c r="A428" s="12" t="s">
        <v>15</v>
      </c>
      <c r="B428" s="12" t="n">
        <v>2015</v>
      </c>
      <c r="C428" s="6" t="n">
        <v>309</v>
      </c>
    </row>
    <row r="429" customFormat="false" ht="15" hidden="false" customHeight="false" outlineLevel="0" collapsed="false">
      <c r="A429" s="12" t="s">
        <v>15</v>
      </c>
      <c r="B429" s="12" t="n">
        <v>2016</v>
      </c>
      <c r="C429" s="6" t="n">
        <v>435</v>
      </c>
    </row>
    <row r="430" customFormat="false" ht="15" hidden="false" customHeight="false" outlineLevel="0" collapsed="false">
      <c r="A430" s="12" t="s">
        <v>15</v>
      </c>
      <c r="B430" s="12" t="n">
        <v>2017</v>
      </c>
      <c r="C430" s="6" t="n">
        <v>585</v>
      </c>
    </row>
    <row r="431" customFormat="false" ht="15" hidden="false" customHeight="false" outlineLevel="0" collapsed="false">
      <c r="A431" s="12" t="s">
        <v>15</v>
      </c>
      <c r="B431" s="12" t="n">
        <v>2018</v>
      </c>
      <c r="C431" s="6" t="n">
        <v>863</v>
      </c>
    </row>
    <row r="432" customFormat="false" ht="15" hidden="false" customHeight="false" outlineLevel="0" collapsed="false">
      <c r="A432" s="12" t="s">
        <v>15</v>
      </c>
      <c r="B432" s="12" t="n">
        <v>2019</v>
      </c>
      <c r="C432" s="6" t="n">
        <v>1077</v>
      </c>
    </row>
    <row r="433" customFormat="false" ht="15" hidden="false" customHeight="false" outlineLevel="0" collapsed="false">
      <c r="A433" s="12" t="s">
        <v>15</v>
      </c>
      <c r="B433" s="12" t="n">
        <v>2020</v>
      </c>
      <c r="C433" s="6" t="n">
        <v>1417</v>
      </c>
    </row>
    <row r="434" customFormat="false" ht="15" hidden="false" customHeight="false" outlineLevel="0" collapsed="false">
      <c r="A434" s="12" t="s">
        <v>15</v>
      </c>
      <c r="B434" s="12" t="n">
        <v>2021</v>
      </c>
      <c r="C434" s="6" t="n">
        <v>1663</v>
      </c>
    </row>
    <row r="435" customFormat="false" ht="15" hidden="false" customHeight="false" outlineLevel="0" collapsed="false">
      <c r="A435" s="12" t="s">
        <v>15</v>
      </c>
      <c r="B435" s="12" t="n">
        <v>2022</v>
      </c>
      <c r="C435" s="6" t="n">
        <v>1749</v>
      </c>
    </row>
    <row r="436" customFormat="false" ht="15" hidden="false" customHeight="false" outlineLevel="0" collapsed="false">
      <c r="A436" s="12" t="s">
        <v>15</v>
      </c>
      <c r="B436" s="12" t="n">
        <v>2023</v>
      </c>
      <c r="C436" s="6" t="n">
        <v>2132</v>
      </c>
    </row>
    <row r="437" customFormat="false" ht="15" hidden="false" customHeight="false" outlineLevel="0" collapsed="false">
      <c r="A437" s="12" t="s">
        <v>15</v>
      </c>
      <c r="B437" s="12" t="n">
        <v>2024</v>
      </c>
      <c r="C437" s="6" t="n">
        <v>3012</v>
      </c>
    </row>
    <row r="438" customFormat="false" ht="15" hidden="false" customHeight="false" outlineLevel="0" collapsed="false">
      <c r="A438" s="12" t="s">
        <v>15</v>
      </c>
      <c r="B438" s="12" t="n">
        <v>2025</v>
      </c>
      <c r="C438" s="6" t="n">
        <v>4381</v>
      </c>
    </row>
    <row r="439" customFormat="false" ht="15" hidden="false" customHeight="false" outlineLevel="0" collapsed="false">
      <c r="A439" s="12" t="s">
        <v>15</v>
      </c>
      <c r="B439" s="12" t="n">
        <v>2026</v>
      </c>
      <c r="C439" s="6" t="n">
        <v>3601</v>
      </c>
    </row>
    <row r="440" customFormat="false" ht="15" hidden="false" customHeight="false" outlineLevel="0" collapsed="false">
      <c r="A440" s="12" t="s">
        <v>17</v>
      </c>
      <c r="B440" s="12" t="n">
        <v>2000</v>
      </c>
      <c r="C440" s="6" t="n">
        <v>30</v>
      </c>
    </row>
    <row r="441" customFormat="false" ht="15" hidden="false" customHeight="false" outlineLevel="0" collapsed="false">
      <c r="A441" s="12" t="s">
        <v>17</v>
      </c>
      <c r="B441" s="12" t="n">
        <v>2001</v>
      </c>
      <c r="C441" s="6" t="n">
        <v>28</v>
      </c>
    </row>
    <row r="442" customFormat="false" ht="15" hidden="false" customHeight="false" outlineLevel="0" collapsed="false">
      <c r="A442" s="12" t="s">
        <v>17</v>
      </c>
      <c r="B442" s="12" t="n">
        <v>2002</v>
      </c>
      <c r="C442" s="6" t="n">
        <v>22</v>
      </c>
    </row>
    <row r="443" customFormat="false" ht="15" hidden="false" customHeight="false" outlineLevel="0" collapsed="false">
      <c r="A443" s="12" t="s">
        <v>17</v>
      </c>
      <c r="B443" s="12" t="n">
        <v>2003</v>
      </c>
      <c r="C443" s="6" t="n">
        <v>24</v>
      </c>
    </row>
    <row r="444" customFormat="false" ht="15" hidden="false" customHeight="false" outlineLevel="0" collapsed="false">
      <c r="A444" s="12" t="s">
        <v>17</v>
      </c>
      <c r="B444" s="12" t="n">
        <v>2004</v>
      </c>
      <c r="C444" s="6" t="n">
        <v>42</v>
      </c>
    </row>
    <row r="445" customFormat="false" ht="15" hidden="false" customHeight="false" outlineLevel="0" collapsed="false">
      <c r="A445" s="12" t="s">
        <v>17</v>
      </c>
      <c r="B445" s="12" t="n">
        <v>2005</v>
      </c>
      <c r="C445" s="6" t="n">
        <v>27</v>
      </c>
    </row>
    <row r="446" customFormat="false" ht="15" hidden="false" customHeight="false" outlineLevel="0" collapsed="false">
      <c r="A446" s="12" t="s">
        <v>17</v>
      </c>
      <c r="B446" s="12" t="n">
        <v>2006</v>
      </c>
      <c r="C446" s="6" t="n">
        <v>37</v>
      </c>
    </row>
    <row r="447" customFormat="false" ht="15" hidden="false" customHeight="false" outlineLevel="0" collapsed="false">
      <c r="A447" s="12" t="s">
        <v>17</v>
      </c>
      <c r="B447" s="12" t="n">
        <v>2007</v>
      </c>
      <c r="C447" s="6" t="n">
        <v>48</v>
      </c>
    </row>
    <row r="448" customFormat="false" ht="15" hidden="false" customHeight="false" outlineLevel="0" collapsed="false">
      <c r="A448" s="12" t="s">
        <v>17</v>
      </c>
      <c r="B448" s="12" t="n">
        <v>2008</v>
      </c>
      <c r="C448" s="6" t="n">
        <v>36</v>
      </c>
    </row>
    <row r="449" customFormat="false" ht="15" hidden="false" customHeight="false" outlineLevel="0" collapsed="false">
      <c r="A449" s="12" t="s">
        <v>17</v>
      </c>
      <c r="B449" s="12" t="n">
        <v>2009</v>
      </c>
      <c r="C449" s="6" t="n">
        <v>51</v>
      </c>
    </row>
    <row r="450" customFormat="false" ht="15" hidden="false" customHeight="false" outlineLevel="0" collapsed="false">
      <c r="A450" s="12" t="s">
        <v>17</v>
      </c>
      <c r="B450" s="12" t="n">
        <v>2010</v>
      </c>
      <c r="C450" s="6" t="n">
        <v>59</v>
      </c>
    </row>
    <row r="451" customFormat="false" ht="15" hidden="false" customHeight="false" outlineLevel="0" collapsed="false">
      <c r="A451" s="12" t="s">
        <v>17</v>
      </c>
      <c r="B451" s="12" t="n">
        <v>2011</v>
      </c>
      <c r="C451" s="6" t="n">
        <v>71</v>
      </c>
    </row>
    <row r="452" customFormat="false" ht="15" hidden="false" customHeight="false" outlineLevel="0" collapsed="false">
      <c r="A452" s="12" t="s">
        <v>17</v>
      </c>
      <c r="B452" s="12" t="n">
        <v>2012</v>
      </c>
      <c r="C452" s="6" t="n">
        <v>112</v>
      </c>
    </row>
    <row r="453" customFormat="false" ht="15" hidden="false" customHeight="false" outlineLevel="0" collapsed="false">
      <c r="A453" s="12" t="s">
        <v>17</v>
      </c>
      <c r="B453" s="12" t="n">
        <v>2013</v>
      </c>
      <c r="C453" s="6" t="n">
        <v>141</v>
      </c>
    </row>
    <row r="454" customFormat="false" ht="15" hidden="false" customHeight="false" outlineLevel="0" collapsed="false">
      <c r="A454" s="12" t="s">
        <v>17</v>
      </c>
      <c r="B454" s="12" t="n">
        <v>2014</v>
      </c>
      <c r="C454" s="6" t="n">
        <v>204</v>
      </c>
    </row>
    <row r="455" customFormat="false" ht="15" hidden="false" customHeight="false" outlineLevel="0" collapsed="false">
      <c r="A455" s="12" t="s">
        <v>17</v>
      </c>
      <c r="B455" s="12" t="n">
        <v>2015</v>
      </c>
      <c r="C455" s="6" t="n">
        <v>275</v>
      </c>
    </row>
    <row r="456" customFormat="false" ht="15" hidden="false" customHeight="false" outlineLevel="0" collapsed="false">
      <c r="A456" s="12" t="s">
        <v>17</v>
      </c>
      <c r="B456" s="12" t="n">
        <v>2016</v>
      </c>
      <c r="C456" s="6" t="n">
        <v>386</v>
      </c>
    </row>
    <row r="457" customFormat="false" ht="15" hidden="false" customHeight="false" outlineLevel="0" collapsed="false">
      <c r="A457" s="12" t="s">
        <v>17</v>
      </c>
      <c r="B457" s="12" t="n">
        <v>2017</v>
      </c>
      <c r="C457" s="6" t="n">
        <v>518</v>
      </c>
    </row>
    <row r="458" customFormat="false" ht="15" hidden="false" customHeight="false" outlineLevel="0" collapsed="false">
      <c r="A458" s="12" t="s">
        <v>17</v>
      </c>
      <c r="B458" s="12" t="n">
        <v>2018</v>
      </c>
      <c r="C458" s="6" t="n">
        <v>751</v>
      </c>
    </row>
    <row r="459" customFormat="false" ht="15" hidden="false" customHeight="false" outlineLevel="0" collapsed="false">
      <c r="A459" s="12" t="s">
        <v>17</v>
      </c>
      <c r="B459" s="12" t="n">
        <v>2019</v>
      </c>
      <c r="C459" s="6" t="n">
        <v>920</v>
      </c>
    </row>
    <row r="460" customFormat="false" ht="15" hidden="false" customHeight="false" outlineLevel="0" collapsed="false">
      <c r="A460" s="12" t="s">
        <v>17</v>
      </c>
      <c r="B460" s="12" t="n">
        <v>2020</v>
      </c>
      <c r="C460" s="6" t="n">
        <v>1190</v>
      </c>
    </row>
    <row r="461" customFormat="false" ht="15" hidden="false" customHeight="false" outlineLevel="0" collapsed="false">
      <c r="A461" s="12" t="s">
        <v>17</v>
      </c>
      <c r="B461" s="12" t="n">
        <v>2021</v>
      </c>
      <c r="C461" s="6" t="n">
        <v>1377</v>
      </c>
    </row>
    <row r="462" customFormat="false" ht="15" hidden="false" customHeight="false" outlineLevel="0" collapsed="false">
      <c r="A462" s="12" t="s">
        <v>17</v>
      </c>
      <c r="B462" s="12" t="n">
        <v>2022</v>
      </c>
      <c r="C462" s="6" t="n">
        <v>1425</v>
      </c>
    </row>
    <row r="463" customFormat="false" ht="15" hidden="false" customHeight="false" outlineLevel="0" collapsed="false">
      <c r="A463" s="12" t="s">
        <v>17</v>
      </c>
      <c r="B463" s="12" t="n">
        <v>2023</v>
      </c>
      <c r="C463" s="6" t="n">
        <v>1734</v>
      </c>
    </row>
    <row r="464" customFormat="false" ht="15" hidden="false" customHeight="false" outlineLevel="0" collapsed="false">
      <c r="A464" s="12" t="s">
        <v>17</v>
      </c>
      <c r="B464" s="12" t="n">
        <v>2024</v>
      </c>
      <c r="C464" s="6" t="n">
        <v>2455</v>
      </c>
    </row>
    <row r="465" customFormat="false" ht="15" hidden="false" customHeight="false" outlineLevel="0" collapsed="false">
      <c r="A465" s="12" t="s">
        <v>17</v>
      </c>
      <c r="B465" s="12" t="n">
        <v>2025</v>
      </c>
      <c r="C465" s="6" t="n">
        <v>3529</v>
      </c>
    </row>
    <row r="466" customFormat="false" ht="15" hidden="false" customHeight="false" outlineLevel="0" collapsed="false">
      <c r="A466" s="12" t="s">
        <v>17</v>
      </c>
      <c r="B466" s="12" t="n">
        <v>2026</v>
      </c>
      <c r="C466" s="6" t="n">
        <v>2894</v>
      </c>
    </row>
    <row r="467" customFormat="false" ht="15" hidden="false" customHeight="false" outlineLevel="0" collapsed="false">
      <c r="A467" s="12" t="s">
        <v>30</v>
      </c>
      <c r="B467" s="12" t="n">
        <v>2013</v>
      </c>
      <c r="C467" s="6" t="n">
        <v>1</v>
      </c>
    </row>
    <row r="468" customFormat="false" ht="15" hidden="false" customHeight="false" outlineLevel="0" collapsed="false">
      <c r="A468" s="12" t="s">
        <v>30</v>
      </c>
      <c r="B468" s="12" t="n">
        <v>2016</v>
      </c>
      <c r="C468" s="6" t="n">
        <v>1</v>
      </c>
    </row>
    <row r="469" customFormat="false" ht="15" hidden="false" customHeight="false" outlineLevel="0" collapsed="false">
      <c r="A469" s="12" t="s">
        <v>30</v>
      </c>
      <c r="B469" s="12" t="n">
        <v>2017</v>
      </c>
      <c r="C469" s="6" t="n">
        <v>1</v>
      </c>
    </row>
    <row r="470" customFormat="false" ht="15" hidden="false" customHeight="false" outlineLevel="0" collapsed="false">
      <c r="A470" s="12" t="s">
        <v>30</v>
      </c>
      <c r="B470" s="12" t="n">
        <v>2018</v>
      </c>
      <c r="C470" s="6" t="n">
        <v>1</v>
      </c>
    </row>
    <row r="471" customFormat="false" ht="15" hidden="false" customHeight="false" outlineLevel="0" collapsed="false">
      <c r="A471" s="12" t="s">
        <v>30</v>
      </c>
      <c r="B471" s="12" t="n">
        <v>2019</v>
      </c>
      <c r="C471" s="6" t="n">
        <v>1</v>
      </c>
    </row>
    <row r="472" customFormat="false" ht="15" hidden="false" customHeight="false" outlineLevel="0" collapsed="false">
      <c r="A472" s="12" t="s">
        <v>30</v>
      </c>
      <c r="B472" s="12" t="n">
        <v>2020</v>
      </c>
      <c r="C472" s="6" t="n">
        <v>3</v>
      </c>
    </row>
    <row r="473" customFormat="false" ht="15" hidden="false" customHeight="false" outlineLevel="0" collapsed="false">
      <c r="A473" s="12" t="s">
        <v>30</v>
      </c>
      <c r="B473" s="12" t="n">
        <v>2021</v>
      </c>
      <c r="C473" s="6" t="n">
        <v>4</v>
      </c>
    </row>
    <row r="474" customFormat="false" ht="15" hidden="false" customHeight="false" outlineLevel="0" collapsed="false">
      <c r="A474" s="12" t="s">
        <v>30</v>
      </c>
      <c r="B474" s="12" t="n">
        <v>2022</v>
      </c>
      <c r="C474" s="6" t="n">
        <v>3</v>
      </c>
    </row>
    <row r="475" customFormat="false" ht="15" hidden="false" customHeight="false" outlineLevel="0" collapsed="false">
      <c r="A475" s="12" t="s">
        <v>30</v>
      </c>
      <c r="B475" s="12" t="n">
        <v>2023</v>
      </c>
      <c r="C475" s="6" t="n">
        <v>6</v>
      </c>
    </row>
    <row r="476" customFormat="false" ht="15" hidden="false" customHeight="false" outlineLevel="0" collapsed="false">
      <c r="A476" s="12" t="s">
        <v>30</v>
      </c>
      <c r="B476" s="12" t="n">
        <v>2024</v>
      </c>
      <c r="C476" s="6" t="n">
        <v>3</v>
      </c>
    </row>
    <row r="477" customFormat="false" ht="15" hidden="false" customHeight="false" outlineLevel="0" collapsed="false">
      <c r="A477" s="12" t="s">
        <v>30</v>
      </c>
      <c r="B477" s="12" t="n">
        <v>2025</v>
      </c>
      <c r="C477" s="6"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0"/>
    <col collapsed="false" customWidth="true" hidden="false" outlineLevel="0" max="3" min="3" style="0" width="14"/>
  </cols>
  <sheetData>
    <row r="1" customFormat="false" ht="15" hidden="false" customHeight="false" outlineLevel="0" collapsed="false">
      <c r="A1" s="3" t="s">
        <v>55</v>
      </c>
      <c r="B1" s="3" t="s">
        <v>56</v>
      </c>
      <c r="C1" s="3" t="s">
        <v>57</v>
      </c>
    </row>
    <row r="2" customFormat="false" ht="15" hidden="false" customHeight="false" outlineLevel="0" collapsed="false">
      <c r="A2" s="13" t="s">
        <v>58</v>
      </c>
      <c r="B2" s="13" t="s">
        <v>59</v>
      </c>
      <c r="C2" s="13" t="s">
        <v>60</v>
      </c>
    </row>
    <row r="3" customFormat="false" ht="46.25" hidden="false" customHeight="false" outlineLevel="0" collapsed="false">
      <c r="A3" s="13" t="s">
        <v>61</v>
      </c>
      <c r="B3" s="13" t="s">
        <v>62</v>
      </c>
      <c r="C3" s="13" t="s">
        <v>60</v>
      </c>
    </row>
    <row r="4" customFormat="false" ht="23.85" hidden="false" customHeight="false" outlineLevel="0" collapsed="false">
      <c r="A4" s="13" t="s">
        <v>63</v>
      </c>
      <c r="B4" s="13" t="s">
        <v>64</v>
      </c>
      <c r="C4" s="13" t="s">
        <v>60</v>
      </c>
    </row>
    <row r="5" customFormat="false" ht="23.85" hidden="false" customHeight="false" outlineLevel="0" collapsed="false">
      <c r="A5" s="13" t="s">
        <v>65</v>
      </c>
      <c r="B5" s="13" t="s">
        <v>66</v>
      </c>
      <c r="C5" s="13" t="s">
        <v>60</v>
      </c>
    </row>
    <row r="6" customFormat="false" ht="23.85" hidden="false" customHeight="false" outlineLevel="0" collapsed="false">
      <c r="A6" s="13" t="s">
        <v>15</v>
      </c>
      <c r="B6" s="13" t="s">
        <v>67</v>
      </c>
      <c r="C6" s="13" t="s">
        <v>68</v>
      </c>
    </row>
    <row r="7" customFormat="false" ht="35.05" hidden="false" customHeight="false" outlineLevel="0" collapsed="false">
      <c r="A7" s="13" t="s">
        <v>16</v>
      </c>
      <c r="B7" s="13" t="s">
        <v>69</v>
      </c>
      <c r="C7" s="13" t="s">
        <v>70</v>
      </c>
    </row>
    <row r="8" customFormat="false" ht="15" hidden="false" customHeight="false" outlineLevel="0" collapsed="false">
      <c r="A8" s="13" t="s">
        <v>17</v>
      </c>
      <c r="B8" s="13" t="s">
        <v>71</v>
      </c>
      <c r="C8" s="13" t="s">
        <v>72</v>
      </c>
    </row>
    <row r="9" customFormat="false" ht="15" hidden="false" customHeight="false" outlineLevel="0" collapsed="false">
      <c r="A9" s="13" t="s">
        <v>18</v>
      </c>
      <c r="B9" s="13" t="s">
        <v>73</v>
      </c>
      <c r="C9" s="13" t="s">
        <v>74</v>
      </c>
    </row>
    <row r="10" customFormat="false" ht="15" hidden="false" customHeight="false" outlineLevel="0" collapsed="false">
      <c r="A10" s="13" t="s">
        <v>20</v>
      </c>
      <c r="B10" s="13" t="s">
        <v>75</v>
      </c>
      <c r="C10" s="13" t="s">
        <v>76</v>
      </c>
    </row>
    <row r="11" customFormat="false" ht="15" hidden="false" customHeight="false" outlineLevel="0" collapsed="false">
      <c r="A11" s="13" t="s">
        <v>21</v>
      </c>
      <c r="B11" s="13" t="s">
        <v>77</v>
      </c>
      <c r="C11" s="13" t="s">
        <v>78</v>
      </c>
    </row>
    <row r="12" customFormat="false" ht="15" hidden="false" customHeight="false" outlineLevel="0" collapsed="false">
      <c r="A12" s="13" t="s">
        <v>22</v>
      </c>
      <c r="B12" s="13" t="s">
        <v>79</v>
      </c>
      <c r="C12" s="13" t="s">
        <v>80</v>
      </c>
    </row>
    <row r="13" customFormat="false" ht="15" hidden="false" customHeight="false" outlineLevel="0" collapsed="false">
      <c r="A13" s="13" t="s">
        <v>19</v>
      </c>
      <c r="B13" s="13" t="s">
        <v>81</v>
      </c>
      <c r="C13" s="13" t="s">
        <v>82</v>
      </c>
    </row>
    <row r="14" customFormat="false" ht="23.85" hidden="false" customHeight="false" outlineLevel="0" collapsed="false">
      <c r="A14" s="13" t="s">
        <v>23</v>
      </c>
      <c r="B14" s="13" t="s">
        <v>83</v>
      </c>
      <c r="C14" s="13" t="s">
        <v>84</v>
      </c>
    </row>
    <row r="15" customFormat="false" ht="23.85" hidden="false" customHeight="false" outlineLevel="0" collapsed="false">
      <c r="A15" s="13" t="s">
        <v>24</v>
      </c>
      <c r="B15" s="13" t="s">
        <v>85</v>
      </c>
      <c r="C15" s="13" t="s">
        <v>84</v>
      </c>
    </row>
    <row r="16" customFormat="false" ht="15" hidden="false" customHeight="false" outlineLevel="0" collapsed="false">
      <c r="A16" s="13" t="s">
        <v>25</v>
      </c>
      <c r="B16" s="13" t="s">
        <v>86</v>
      </c>
      <c r="C16" s="13" t="s">
        <v>84</v>
      </c>
    </row>
    <row r="17" customFormat="false" ht="23.85" hidden="false" customHeight="false" outlineLevel="0" collapsed="false">
      <c r="A17" s="13" t="s">
        <v>26</v>
      </c>
      <c r="B17" s="13" t="s">
        <v>87</v>
      </c>
      <c r="C17" s="13" t="s">
        <v>84</v>
      </c>
    </row>
    <row r="18" customFormat="false" ht="23.85" hidden="false" customHeight="false" outlineLevel="0" collapsed="false">
      <c r="A18" s="13" t="s">
        <v>27</v>
      </c>
      <c r="B18" s="13" t="s">
        <v>88</v>
      </c>
      <c r="C18" s="13" t="s">
        <v>84</v>
      </c>
    </row>
    <row r="19" customFormat="false" ht="23.85" hidden="false" customHeight="false" outlineLevel="0" collapsed="false">
      <c r="A19" s="13" t="s">
        <v>28</v>
      </c>
      <c r="B19" s="13" t="s">
        <v>89</v>
      </c>
      <c r="C19" s="13" t="s">
        <v>84</v>
      </c>
    </row>
    <row r="20" customFormat="false" ht="15" hidden="false" customHeight="false" outlineLevel="0" collapsed="false">
      <c r="A20" s="13" t="s">
        <v>29</v>
      </c>
      <c r="B20" s="13" t="s">
        <v>90</v>
      </c>
      <c r="C20" s="13" t="s">
        <v>84</v>
      </c>
    </row>
    <row r="21" customFormat="false" ht="15" hidden="false" customHeight="false" outlineLevel="0" collapsed="false">
      <c r="A21" s="13" t="s">
        <v>30</v>
      </c>
      <c r="B21" s="13" t="s">
        <v>91</v>
      </c>
      <c r="C21" s="13" t="s">
        <v>92</v>
      </c>
    </row>
    <row r="22" customFormat="false" ht="15" hidden="false" customHeight="false" outlineLevel="0" collapsed="false">
      <c r="A22" s="13" t="s">
        <v>31</v>
      </c>
      <c r="B22" s="13" t="s">
        <v>93</v>
      </c>
      <c r="C22" s="13"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14"/>
  </cols>
  <sheetData>
    <row r="1" customFormat="false" ht="15" hidden="false" customHeight="false" outlineLevel="0" collapsed="false">
      <c r="A1" s="9" t="s">
        <v>95</v>
      </c>
    </row>
    <row r="2" customFormat="false" ht="15" hidden="false" customHeight="false" outlineLevel="0" collapsed="false">
      <c r="A2" s="3" t="s">
        <v>96</v>
      </c>
      <c r="B2" s="3" t="s">
        <v>97</v>
      </c>
    </row>
    <row r="3" customFormat="false" ht="15" hidden="false" customHeight="false" outlineLevel="0" collapsed="false">
      <c r="A3" s="2" t="s">
        <v>98</v>
      </c>
      <c r="B3" s="6" t="n">
        <v>4421</v>
      </c>
    </row>
    <row r="4" customFormat="false" ht="15" hidden="false" customHeight="false" outlineLevel="0" collapsed="false">
      <c r="A4" s="2" t="s">
        <v>99</v>
      </c>
      <c r="B4" s="6" t="n">
        <v>3239</v>
      </c>
    </row>
    <row r="5" customFormat="false" ht="15" hidden="false" customHeight="false" outlineLevel="0" collapsed="false">
      <c r="A5" s="2" t="s">
        <v>100</v>
      </c>
      <c r="B5" s="6" t="n">
        <v>1857</v>
      </c>
    </row>
    <row r="6" customFormat="false" ht="15" hidden="false" customHeight="false" outlineLevel="0" collapsed="false">
      <c r="A6" s="2" t="s">
        <v>101</v>
      </c>
      <c r="B6" s="6" t="n">
        <v>737</v>
      </c>
    </row>
    <row r="7" customFormat="false" ht="15" hidden="false" customHeight="false" outlineLevel="0" collapsed="false">
      <c r="A7" s="2" t="s">
        <v>102</v>
      </c>
      <c r="B7" s="6" t="n">
        <v>690</v>
      </c>
    </row>
    <row r="8" customFormat="false" ht="15" hidden="false" customHeight="false" outlineLevel="0" collapsed="false">
      <c r="A8" s="2" t="s">
        <v>103</v>
      </c>
      <c r="B8" s="6" t="n">
        <v>641</v>
      </c>
    </row>
    <row r="9" customFormat="false" ht="15" hidden="false" customHeight="false" outlineLevel="0" collapsed="false">
      <c r="A9" s="2" t="s">
        <v>104</v>
      </c>
      <c r="B9" s="6" t="n">
        <v>615</v>
      </c>
    </row>
    <row r="10" customFormat="false" ht="15" hidden="false" customHeight="false" outlineLevel="0" collapsed="false">
      <c r="A10" s="2" t="s">
        <v>105</v>
      </c>
      <c r="B10" s="6" t="n">
        <v>611</v>
      </c>
    </row>
    <row r="11" customFormat="false" ht="15" hidden="false" customHeight="false" outlineLevel="0" collapsed="false">
      <c r="A11" s="2" t="s">
        <v>106</v>
      </c>
      <c r="B11" s="6" t="n">
        <v>559</v>
      </c>
    </row>
    <row r="12" customFormat="false" ht="15" hidden="false" customHeight="false" outlineLevel="0" collapsed="false">
      <c r="A12" s="2" t="s">
        <v>107</v>
      </c>
      <c r="B12" s="6" t="n">
        <v>505</v>
      </c>
    </row>
    <row r="13" customFormat="false" ht="15" hidden="false" customHeight="false" outlineLevel="0" collapsed="false">
      <c r="A13" s="2" t="s">
        <v>108</v>
      </c>
      <c r="B13" s="6" t="n">
        <v>483</v>
      </c>
    </row>
    <row r="14" customFormat="false" ht="15" hidden="false" customHeight="false" outlineLevel="0" collapsed="false">
      <c r="A14" s="2" t="s">
        <v>109</v>
      </c>
      <c r="B14" s="6" t="n">
        <v>471</v>
      </c>
    </row>
    <row r="15" customFormat="false" ht="15" hidden="false" customHeight="false" outlineLevel="0" collapsed="false">
      <c r="A15" s="2" t="s">
        <v>110</v>
      </c>
      <c r="B15" s="6" t="n">
        <v>386</v>
      </c>
    </row>
    <row r="16" customFormat="false" ht="15" hidden="false" customHeight="false" outlineLevel="0" collapsed="false">
      <c r="A16" s="2" t="s">
        <v>111</v>
      </c>
      <c r="B16" s="6" t="n">
        <v>357</v>
      </c>
    </row>
    <row r="17" customFormat="false" ht="15" hidden="false" customHeight="false" outlineLevel="0" collapsed="false">
      <c r="A17" s="2" t="s">
        <v>112</v>
      </c>
      <c r="B17" s="6" t="n">
        <v>324</v>
      </c>
    </row>
    <row r="19" customFormat="false" ht="15" hidden="false" customHeight="false" outlineLevel="0" collapsed="false">
      <c r="A19" s="9" t="s">
        <v>113</v>
      </c>
    </row>
    <row r="20" customFormat="false" ht="15" hidden="false" customHeight="false" outlineLevel="0" collapsed="false">
      <c r="A20" s="3" t="s">
        <v>96</v>
      </c>
      <c r="B20" s="3" t="s">
        <v>97</v>
      </c>
    </row>
    <row r="21" customFormat="false" ht="15" hidden="false" customHeight="false" outlineLevel="0" collapsed="false">
      <c r="A21" s="2" t="s">
        <v>114</v>
      </c>
      <c r="B21" s="6" t="n">
        <v>1026</v>
      </c>
    </row>
    <row r="22" customFormat="false" ht="15" hidden="false" customHeight="false" outlineLevel="0" collapsed="false">
      <c r="A22" s="2" t="s">
        <v>115</v>
      </c>
      <c r="B22" s="6" t="n">
        <v>582</v>
      </c>
    </row>
    <row r="23" customFormat="false" ht="15" hidden="false" customHeight="false" outlineLevel="0" collapsed="false">
      <c r="A23" s="2" t="s">
        <v>116</v>
      </c>
      <c r="B23" s="6" t="n">
        <v>368</v>
      </c>
    </row>
    <row r="24" customFormat="false" ht="15" hidden="false" customHeight="false" outlineLevel="0" collapsed="false">
      <c r="A24" s="2" t="s">
        <v>117</v>
      </c>
      <c r="B24" s="6" t="n">
        <v>364</v>
      </c>
    </row>
    <row r="25" customFormat="false" ht="15" hidden="false" customHeight="false" outlineLevel="0" collapsed="false">
      <c r="A25" s="2" t="s">
        <v>118</v>
      </c>
      <c r="B25" s="6" t="n">
        <v>329</v>
      </c>
    </row>
    <row r="26" customFormat="false" ht="15" hidden="false" customHeight="false" outlineLevel="0" collapsed="false">
      <c r="A26" s="2" t="s">
        <v>119</v>
      </c>
      <c r="B26" s="6" t="n">
        <v>297</v>
      </c>
    </row>
    <row r="27" customFormat="false" ht="15" hidden="false" customHeight="false" outlineLevel="0" collapsed="false">
      <c r="A27" s="2" t="s">
        <v>120</v>
      </c>
      <c r="B27" s="6" t="n">
        <v>292</v>
      </c>
    </row>
    <row r="28" customFormat="false" ht="15" hidden="false" customHeight="false" outlineLevel="0" collapsed="false">
      <c r="A28" s="2" t="s">
        <v>121</v>
      </c>
      <c r="B28" s="6" t="n">
        <v>264</v>
      </c>
    </row>
    <row r="29" customFormat="false" ht="15" hidden="false" customHeight="false" outlineLevel="0" collapsed="false">
      <c r="A29" s="2" t="s">
        <v>122</v>
      </c>
      <c r="B29" s="6" t="n">
        <v>240</v>
      </c>
    </row>
    <row r="30" customFormat="false" ht="15" hidden="false" customHeight="false" outlineLevel="0" collapsed="false">
      <c r="A30" s="2" t="s">
        <v>123</v>
      </c>
      <c r="B30" s="6" t="n">
        <v>201</v>
      </c>
    </row>
    <row r="31" customFormat="false" ht="15" hidden="false" customHeight="false" outlineLevel="0" collapsed="false">
      <c r="A31" s="2" t="s">
        <v>124</v>
      </c>
      <c r="B31" s="6" t="n">
        <v>182</v>
      </c>
    </row>
    <row r="32" customFormat="false" ht="15" hidden="false" customHeight="false" outlineLevel="0" collapsed="false">
      <c r="A32" s="2" t="s">
        <v>125</v>
      </c>
      <c r="B32" s="6" t="n">
        <v>167</v>
      </c>
    </row>
    <row r="33" customFormat="false" ht="15" hidden="false" customHeight="false" outlineLevel="0" collapsed="false">
      <c r="A33" s="2" t="s">
        <v>126</v>
      </c>
      <c r="B33" s="6" t="n">
        <v>140</v>
      </c>
    </row>
    <row r="34" customFormat="false" ht="15" hidden="false" customHeight="false" outlineLevel="0" collapsed="false">
      <c r="A34" s="2" t="s">
        <v>127</v>
      </c>
      <c r="B34" s="6" t="n">
        <v>132</v>
      </c>
    </row>
    <row r="35" customFormat="false" ht="15" hidden="false" customHeight="false" outlineLevel="0" collapsed="false">
      <c r="A35" s="2" t="s">
        <v>128</v>
      </c>
      <c r="B35" s="6" t="n">
        <v>121</v>
      </c>
    </row>
    <row r="37" customFormat="false" ht="15" hidden="false" customHeight="false" outlineLevel="0" collapsed="false">
      <c r="A37" s="9" t="s">
        <v>129</v>
      </c>
    </row>
    <row r="38" customFormat="false" ht="15" hidden="false" customHeight="false" outlineLevel="0" collapsed="false">
      <c r="A38" s="3" t="s">
        <v>96</v>
      </c>
      <c r="B38" s="3" t="s">
        <v>97</v>
      </c>
    </row>
    <row r="39" customFormat="false" ht="15" hidden="false" customHeight="false" outlineLevel="0" collapsed="false">
      <c r="A39" s="2" t="s">
        <v>130</v>
      </c>
      <c r="B39" s="6" t="n">
        <v>5988</v>
      </c>
    </row>
    <row r="40" customFormat="false" ht="15" hidden="false" customHeight="false" outlineLevel="0" collapsed="false">
      <c r="A40" s="2" t="s">
        <v>131</v>
      </c>
      <c r="B40" s="6" t="n">
        <v>5904</v>
      </c>
    </row>
    <row r="41" customFormat="false" ht="15" hidden="false" customHeight="false" outlineLevel="0" collapsed="false">
      <c r="A41" s="2" t="s">
        <v>132</v>
      </c>
      <c r="B41" s="6" t="n">
        <v>3007</v>
      </c>
    </row>
    <row r="42" customFormat="false" ht="15" hidden="false" customHeight="false" outlineLevel="0" collapsed="false">
      <c r="A42" s="2" t="s">
        <v>133</v>
      </c>
      <c r="B42" s="6" t="n">
        <v>1175</v>
      </c>
    </row>
    <row r="43" customFormat="false" ht="15" hidden="false" customHeight="false" outlineLevel="0" collapsed="false">
      <c r="A43" s="2" t="s">
        <v>134</v>
      </c>
      <c r="B43" s="6" t="n">
        <v>783</v>
      </c>
    </row>
    <row r="44" customFormat="false" ht="15" hidden="false" customHeight="false" outlineLevel="0" collapsed="false">
      <c r="A44" s="2" t="s">
        <v>135</v>
      </c>
      <c r="B44" s="6" t="n">
        <v>772</v>
      </c>
    </row>
    <row r="45" customFormat="false" ht="15" hidden="false" customHeight="false" outlineLevel="0" collapsed="false">
      <c r="A45" s="2" t="s">
        <v>136</v>
      </c>
      <c r="B45" s="6" t="n">
        <v>487</v>
      </c>
    </row>
    <row r="46" customFormat="false" ht="15" hidden="false" customHeight="false" outlineLevel="0" collapsed="false">
      <c r="A46" s="2" t="s">
        <v>137</v>
      </c>
      <c r="B46" s="6" t="n">
        <v>345</v>
      </c>
    </row>
    <row r="48" customFormat="false" ht="15" hidden="false" customHeight="false" outlineLevel="0" collapsed="false">
      <c r="A48" s="9" t="s">
        <v>138</v>
      </c>
    </row>
    <row r="49" customFormat="false" ht="15" hidden="false" customHeight="false" outlineLevel="0" collapsed="false">
      <c r="A49" s="3" t="s">
        <v>96</v>
      </c>
      <c r="B49" s="3" t="s">
        <v>97</v>
      </c>
    </row>
    <row r="50" customFormat="false" ht="15" hidden="false" customHeight="false" outlineLevel="0" collapsed="false">
      <c r="A50" s="2" t="s">
        <v>139</v>
      </c>
      <c r="B50" s="6" t="n">
        <v>3078</v>
      </c>
    </row>
    <row r="51" customFormat="false" ht="15" hidden="false" customHeight="false" outlineLevel="0" collapsed="false">
      <c r="A51" s="2" t="s">
        <v>140</v>
      </c>
      <c r="B51" s="6" t="n">
        <v>2364</v>
      </c>
    </row>
    <row r="52" customFormat="false" ht="15" hidden="false" customHeight="false" outlineLevel="0" collapsed="false">
      <c r="A52" s="2" t="s">
        <v>141</v>
      </c>
      <c r="B52" s="6" t="n">
        <v>1091</v>
      </c>
    </row>
    <row r="53" customFormat="false" ht="15" hidden="false" customHeight="false" outlineLevel="0" collapsed="false">
      <c r="A53" s="2" t="s">
        <v>142</v>
      </c>
      <c r="B53" s="6" t="n">
        <v>816</v>
      </c>
    </row>
    <row r="54" customFormat="false" ht="15" hidden="false" customHeight="false" outlineLevel="0" collapsed="false">
      <c r="A54" s="2" t="s">
        <v>143</v>
      </c>
      <c r="B54" s="6" t="n">
        <v>614</v>
      </c>
    </row>
    <row r="55" customFormat="false" ht="15" hidden="false" customHeight="false" outlineLevel="0" collapsed="false">
      <c r="A55" s="2" t="s">
        <v>144</v>
      </c>
      <c r="B55" s="6" t="n">
        <v>303</v>
      </c>
    </row>
    <row r="56" customFormat="false" ht="15" hidden="false" customHeight="false" outlineLevel="0" collapsed="false">
      <c r="A56" s="2" t="s">
        <v>145</v>
      </c>
      <c r="B56" s="6" t="n">
        <v>259</v>
      </c>
    </row>
    <row r="57" customFormat="false" ht="15" hidden="false" customHeight="false" outlineLevel="0" collapsed="false">
      <c r="A57" s="2" t="s">
        <v>146</v>
      </c>
      <c r="B57" s="6" t="n">
        <v>248</v>
      </c>
    </row>
    <row r="58" customFormat="false" ht="15" hidden="false" customHeight="false" outlineLevel="0" collapsed="false">
      <c r="A58" s="2" t="s">
        <v>147</v>
      </c>
      <c r="B58" s="6" t="n">
        <v>175</v>
      </c>
    </row>
    <row r="59" customFormat="false" ht="15" hidden="false" customHeight="false" outlineLevel="0" collapsed="false">
      <c r="A59" s="2" t="s">
        <v>148</v>
      </c>
      <c r="B59" s="6" t="n">
        <v>172</v>
      </c>
    </row>
    <row r="61" customFormat="false" ht="15" hidden="false" customHeight="false" outlineLevel="0" collapsed="false">
      <c r="A61" s="9" t="s">
        <v>149</v>
      </c>
    </row>
    <row r="62" customFormat="false" ht="15" hidden="false" customHeight="false" outlineLevel="0" collapsed="false">
      <c r="A62" s="3" t="s">
        <v>96</v>
      </c>
      <c r="B62" s="3" t="s">
        <v>97</v>
      </c>
    </row>
    <row r="63" customFormat="false" ht="15" hidden="false" customHeight="false" outlineLevel="0" collapsed="false">
      <c r="A63" s="2" t="s">
        <v>150</v>
      </c>
      <c r="B63" s="6" t="n">
        <v>13290</v>
      </c>
    </row>
    <row r="64" customFormat="false" ht="15" hidden="false" customHeight="false" outlineLevel="0" collapsed="false">
      <c r="A64" s="2" t="s">
        <v>151</v>
      </c>
      <c r="B64" s="6" t="n">
        <v>5216</v>
      </c>
    </row>
    <row r="66" customFormat="false" ht="15" hidden="false" customHeight="false" outlineLevel="0" collapsed="false">
      <c r="A66" s="9" t="s">
        <v>152</v>
      </c>
    </row>
    <row r="67" customFormat="false" ht="15" hidden="false" customHeight="false" outlineLevel="0" collapsed="false">
      <c r="A67" s="3" t="s">
        <v>96</v>
      </c>
      <c r="B67" s="3" t="s">
        <v>97</v>
      </c>
    </row>
    <row r="68" customFormat="false" ht="15" hidden="false" customHeight="false" outlineLevel="0" collapsed="false">
      <c r="A68" s="2" t="s">
        <v>153</v>
      </c>
      <c r="B68" s="6" t="n">
        <v>942</v>
      </c>
    </row>
    <row r="69" customFormat="false" ht="15" hidden="false" customHeight="false" outlineLevel="0" collapsed="false">
      <c r="A69" s="2" t="s">
        <v>154</v>
      </c>
      <c r="B69" s="6" t="n">
        <v>2276</v>
      </c>
    </row>
    <row r="70" customFormat="false" ht="15" hidden="false" customHeight="false" outlineLevel="0" collapsed="false">
      <c r="A70" s="2" t="s">
        <v>155</v>
      </c>
      <c r="B70" s="6" t="n">
        <v>7738</v>
      </c>
    </row>
    <row r="71" customFormat="false" ht="15" hidden="false" customHeight="false" outlineLevel="0" collapsed="false">
      <c r="A71" s="2" t="s">
        <v>156</v>
      </c>
      <c r="B71" s="6" t="n">
        <v>19740</v>
      </c>
    </row>
    <row r="72" customFormat="false" ht="15" hidden="false" customHeight="false" outlineLevel="0" collapsed="false">
      <c r="A72" s="2" t="s">
        <v>157</v>
      </c>
      <c r="B72" s="6" t="n">
        <v>18506</v>
      </c>
    </row>
    <row r="73" customFormat="false" ht="15" hidden="false" customHeight="false" outlineLevel="0" collapsed="false">
      <c r="A73" s="2" t="s">
        <v>158</v>
      </c>
      <c r="B73" s="6" t="n">
        <v>164</v>
      </c>
    </row>
    <row r="75" customFormat="false" ht="15" hidden="false" customHeight="false" outlineLevel="0" collapsed="false">
      <c r="A75" s="11"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6"/>
    <col collapsed="false" customWidth="true" hidden="false" outlineLevel="0" max="3" min="3" style="0" width="8"/>
    <col collapsed="false" customWidth="true" hidden="false" outlineLevel="0" max="4" min="4" style="0" width="12"/>
    <col collapsed="false" customWidth="true" hidden="false" outlineLevel="0" max="5" min="5" style="0" width="80"/>
  </cols>
  <sheetData>
    <row r="1" customFormat="false" ht="15" hidden="false" customHeight="false" outlineLevel="0" collapsed="false">
      <c r="A1" s="3" t="s">
        <v>160</v>
      </c>
      <c r="B1" s="3" t="s">
        <v>161</v>
      </c>
      <c r="C1" s="3" t="s">
        <v>14</v>
      </c>
      <c r="D1" s="3" t="s">
        <v>162</v>
      </c>
      <c r="E1" s="3" t="s">
        <v>163</v>
      </c>
    </row>
    <row r="2" customFormat="false" ht="15" hidden="false" customHeight="false" outlineLevel="0" collapsed="false">
      <c r="A2" s="2" t="s">
        <v>164</v>
      </c>
      <c r="B2" s="2" t="s">
        <v>165</v>
      </c>
      <c r="C2" s="2" t="n">
        <v>2018</v>
      </c>
      <c r="D2" s="6" t="n">
        <v>175200</v>
      </c>
      <c r="E2" s="2" t="s">
        <v>166</v>
      </c>
    </row>
    <row r="3" customFormat="false" ht="15" hidden="false" customHeight="false" outlineLevel="0" collapsed="false">
      <c r="A3" s="2" t="s">
        <v>164</v>
      </c>
      <c r="B3" s="2" t="s">
        <v>165</v>
      </c>
      <c r="C3" s="2" t="n">
        <v>2019</v>
      </c>
      <c r="D3" s="6" t="n">
        <v>121200</v>
      </c>
      <c r="E3" s="2" t="s">
        <v>167</v>
      </c>
    </row>
    <row r="4" customFormat="false" ht="15" hidden="false" customHeight="false" outlineLevel="0" collapsed="false">
      <c r="A4" s="2" t="s">
        <v>164</v>
      </c>
      <c r="B4" s="2" t="s">
        <v>165</v>
      </c>
      <c r="C4" s="2" t="n">
        <v>2020</v>
      </c>
      <c r="D4" s="6" t="n">
        <v>94200</v>
      </c>
      <c r="E4" s="2" t="s">
        <v>168</v>
      </c>
    </row>
    <row r="5" customFormat="false" ht="15" hidden="false" customHeight="false" outlineLevel="0" collapsed="false">
      <c r="A5" s="2" t="s">
        <v>164</v>
      </c>
      <c r="B5" s="2" t="s">
        <v>165</v>
      </c>
      <c r="C5" s="2" t="n">
        <v>2021</v>
      </c>
      <c r="D5" s="6" t="n">
        <v>102000</v>
      </c>
      <c r="E5" s="2" t="s">
        <v>169</v>
      </c>
    </row>
    <row r="6" customFormat="false" ht="15" hidden="false" customHeight="false" outlineLevel="0" collapsed="false">
      <c r="A6" s="2" t="s">
        <v>164</v>
      </c>
      <c r="B6" s="2" t="s">
        <v>165</v>
      </c>
      <c r="C6" s="2" t="n">
        <v>2022</v>
      </c>
      <c r="D6" s="6" t="n">
        <v>105000</v>
      </c>
      <c r="E6" s="2" t="s">
        <v>170</v>
      </c>
    </row>
    <row r="7" customFormat="false" ht="15" hidden="false" customHeight="false" outlineLevel="0" collapsed="false">
      <c r="A7" s="2" t="s">
        <v>164</v>
      </c>
      <c r="B7" s="2" t="s">
        <v>165</v>
      </c>
      <c r="C7" s="2" t="n">
        <v>2023</v>
      </c>
      <c r="D7" s="6" t="n">
        <v>115524</v>
      </c>
      <c r="E7" s="2" t="s">
        <v>171</v>
      </c>
    </row>
    <row r="8" customFormat="false" ht="15" hidden="false" customHeight="false" outlineLevel="0" collapsed="false">
      <c r="A8" s="2" t="s">
        <v>164</v>
      </c>
      <c r="B8" s="2" t="s">
        <v>165</v>
      </c>
      <c r="C8" s="2" t="n">
        <v>2024</v>
      </c>
      <c r="D8" s="6" t="n">
        <v>124440</v>
      </c>
      <c r="E8" s="2" t="s">
        <v>172</v>
      </c>
    </row>
    <row r="9" customFormat="false" ht="15" hidden="false" customHeight="false" outlineLevel="0" collapsed="false">
      <c r="A9" s="2" t="s">
        <v>173</v>
      </c>
      <c r="B9" s="2" t="s">
        <v>165</v>
      </c>
      <c r="C9" s="2" t="n">
        <v>2024</v>
      </c>
      <c r="D9" s="6" t="n">
        <v>965524</v>
      </c>
      <c r="E9" s="2" t="s">
        <v>174</v>
      </c>
    </row>
    <row r="10" customFormat="false" ht="15" hidden="false" customHeight="false" outlineLevel="0" collapsed="false">
      <c r="A10" s="2" t="s">
        <v>175</v>
      </c>
      <c r="B10" s="2" t="s">
        <v>165</v>
      </c>
      <c r="C10" s="2" t="n">
        <v>2025</v>
      </c>
      <c r="D10" s="6" t="n">
        <v>424516</v>
      </c>
      <c r="E10" s="2" t="s">
        <v>176</v>
      </c>
    </row>
    <row r="11" customFormat="false" ht="15" hidden="false" customHeight="false" outlineLevel="0" collapsed="false">
      <c r="A11" s="2" t="s">
        <v>177</v>
      </c>
      <c r="B11" s="2" t="s">
        <v>165</v>
      </c>
      <c r="C11" s="2" t="n">
        <v>2030</v>
      </c>
      <c r="D11" s="6" t="n">
        <v>540845</v>
      </c>
      <c r="E11" s="2" t="s">
        <v>178</v>
      </c>
    </row>
    <row r="12" customFormat="false" ht="15" hidden="false" customHeight="false" outlineLevel="0" collapsed="false">
      <c r="A12" s="2" t="s">
        <v>179</v>
      </c>
      <c r="B12" s="2" t="s">
        <v>165</v>
      </c>
      <c r="C12" s="2" t="n">
        <v>2023</v>
      </c>
      <c r="D12" s="6" t="n">
        <v>358</v>
      </c>
      <c r="E12" s="2" t="s">
        <v>180</v>
      </c>
    </row>
    <row r="13" customFormat="false" ht="15" hidden="false" customHeight="false" outlineLevel="0" collapsed="false">
      <c r="A13" s="2" t="s">
        <v>179</v>
      </c>
      <c r="B13" s="2" t="s">
        <v>165</v>
      </c>
      <c r="C13" s="2" t="n">
        <v>2024</v>
      </c>
      <c r="D13" s="6" t="n">
        <v>423</v>
      </c>
      <c r="E13" s="2" t="s">
        <v>180</v>
      </c>
    </row>
    <row r="14" customFormat="false" ht="15" hidden="false" customHeight="false" outlineLevel="0" collapsed="false">
      <c r="A14" s="2" t="s">
        <v>179</v>
      </c>
      <c r="B14" s="2" t="s">
        <v>165</v>
      </c>
      <c r="C14" s="2" t="n">
        <v>2025</v>
      </c>
      <c r="D14" s="6" t="n">
        <v>493</v>
      </c>
      <c r="E14" s="2" t="s">
        <v>180</v>
      </c>
    </row>
    <row r="15" customFormat="false" ht="15" hidden="false" customHeight="false" outlineLevel="0" collapsed="false">
      <c r="A15" s="2" t="s">
        <v>181</v>
      </c>
      <c r="B15" s="2" t="s">
        <v>182</v>
      </c>
      <c r="C15" s="2" t="n">
        <v>2024</v>
      </c>
      <c r="D15" s="6" t="n">
        <v>119300</v>
      </c>
      <c r="E15" s="2" t="s">
        <v>183</v>
      </c>
    </row>
    <row r="16" customFormat="false" ht="15" hidden="false" customHeight="false" outlineLevel="0" collapsed="false">
      <c r="A16" s="2" t="s">
        <v>181</v>
      </c>
      <c r="B16" s="2" t="s">
        <v>182</v>
      </c>
      <c r="C16" s="2" t="n">
        <v>2025</v>
      </c>
      <c r="D16" s="6" t="n">
        <v>150332</v>
      </c>
      <c r="E16" s="2" t="s">
        <v>184</v>
      </c>
    </row>
    <row r="17" customFormat="false" ht="15" hidden="false" customHeight="false" outlineLevel="0" collapsed="false">
      <c r="A17" s="2" t="s">
        <v>185</v>
      </c>
      <c r="B17" s="2" t="s">
        <v>186</v>
      </c>
      <c r="C17" s="2" t="n">
        <v>2025</v>
      </c>
      <c r="D17" s="6" t="n">
        <v>2000000</v>
      </c>
      <c r="E17" s="2" t="s">
        <v>187</v>
      </c>
    </row>
    <row r="18" customFormat="false" ht="15" hidden="false" customHeight="false" outlineLevel="0" collapsed="false">
      <c r="A18" s="2" t="s">
        <v>188</v>
      </c>
      <c r="B18" s="2" t="s">
        <v>189</v>
      </c>
      <c r="C18" s="2" t="n">
        <v>2024</v>
      </c>
      <c r="D18" s="6" t="n">
        <v>2464</v>
      </c>
      <c r="E18" s="2" t="s">
        <v>190</v>
      </c>
    </row>
    <row r="19" customFormat="false" ht="15" hidden="false" customHeight="false" outlineLevel="0" collapsed="false">
      <c r="A19" s="2" t="s">
        <v>191</v>
      </c>
      <c r="B19" s="2" t="s">
        <v>189</v>
      </c>
      <c r="C19" s="2" t="n">
        <v>2024</v>
      </c>
      <c r="D19" s="6" t="n">
        <v>9633</v>
      </c>
      <c r="E19" s="2" t="s">
        <v>190</v>
      </c>
    </row>
    <row r="20" customFormat="false" ht="15" hidden="false" customHeight="false" outlineLevel="0" collapsed="false">
      <c r="A20" s="2" t="s">
        <v>192</v>
      </c>
      <c r="B20" s="2" t="s">
        <v>189</v>
      </c>
      <c r="C20" s="2" t="n">
        <v>2024</v>
      </c>
      <c r="D20" s="6" t="n">
        <v>18</v>
      </c>
      <c r="E20" s="2" t="s">
        <v>190</v>
      </c>
    </row>
    <row r="22" customFormat="false" ht="15" hidden="false" customHeight="false" outlineLevel="0" collapsed="false">
      <c r="A22" s="11" t="s">
        <v>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11" min="2" style="0" width="13"/>
  </cols>
  <sheetData>
    <row r="1" customFormat="false" ht="15" hidden="false" customHeight="false" outlineLevel="0" collapsed="false">
      <c r="A1" s="9" t="s">
        <v>194</v>
      </c>
    </row>
    <row r="2" customFormat="false" ht="23.85" hidden="false" customHeight="false" outlineLevel="0" collapsed="false">
      <c r="A2" s="3" t="s">
        <v>195</v>
      </c>
      <c r="B2" s="3" t="s">
        <v>196</v>
      </c>
      <c r="C2" s="3" t="s">
        <v>197</v>
      </c>
      <c r="D2" s="3" t="s">
        <v>198</v>
      </c>
      <c r="E2" s="3" t="s">
        <v>199</v>
      </c>
      <c r="F2" s="3" t="s">
        <v>200</v>
      </c>
      <c r="G2" s="3" t="s">
        <v>201</v>
      </c>
      <c r="H2" s="3" t="s">
        <v>202</v>
      </c>
      <c r="I2" s="3" t="s">
        <v>203</v>
      </c>
      <c r="J2" s="3" t="s">
        <v>204</v>
      </c>
      <c r="K2" s="3" t="s">
        <v>205</v>
      </c>
    </row>
    <row r="3" customFormat="false" ht="15" hidden="false" customHeight="false" outlineLevel="0" collapsed="false">
      <c r="A3" s="2" t="s">
        <v>206</v>
      </c>
      <c r="B3" s="2" t="n">
        <v>2</v>
      </c>
      <c r="C3" s="14" t="n">
        <v>283.43</v>
      </c>
      <c r="D3" s="14" t="n">
        <v>-221.35</v>
      </c>
      <c r="E3" s="14" t="n">
        <v>36.119</v>
      </c>
      <c r="F3" s="14" t="n">
        <v>0.3911</v>
      </c>
      <c r="G3" s="14" t="n">
        <v>0.1953</v>
      </c>
      <c r="H3" s="14" t="n">
        <v>14.844</v>
      </c>
      <c r="I3" s="14" t="n">
        <v>31.82</v>
      </c>
      <c r="J3" s="14" t="n">
        <v>31.8</v>
      </c>
      <c r="K3" s="2" t="s">
        <v>207</v>
      </c>
    </row>
    <row r="4" customFormat="false" ht="15" hidden="false" customHeight="false" outlineLevel="0" collapsed="false">
      <c r="A4" s="2" t="s">
        <v>208</v>
      </c>
      <c r="B4" s="2" t="n">
        <v>3</v>
      </c>
      <c r="C4" s="14" t="n">
        <v>269.435</v>
      </c>
      <c r="D4" s="14" t="n">
        <v>-214.352</v>
      </c>
      <c r="E4" s="14" t="n">
        <v>37.87</v>
      </c>
      <c r="F4" s="14" t="n">
        <v>0.163</v>
      </c>
      <c r="G4" s="14" t="n">
        <v>0.1786</v>
      </c>
      <c r="H4" s="14" t="n">
        <v>14.848</v>
      </c>
      <c r="I4" s="14" t="n">
        <v>32.24</v>
      </c>
      <c r="J4" s="14" t="n">
        <v>20.35</v>
      </c>
      <c r="K4" s="2" t="s">
        <v>209</v>
      </c>
    </row>
    <row r="5" customFormat="false" ht="15" hidden="false" customHeight="false" outlineLevel="0" collapsed="false">
      <c r="A5" s="2" t="s">
        <v>210</v>
      </c>
      <c r="B5" s="2" t="n">
        <v>3</v>
      </c>
      <c r="C5" s="14" t="n">
        <v>253.036</v>
      </c>
      <c r="D5" s="14" t="n">
        <v>-206.152</v>
      </c>
      <c r="E5" s="14" t="n">
        <v>36.705</v>
      </c>
      <c r="F5" s="14" t="n">
        <v>0.2918</v>
      </c>
      <c r="G5" s="14" t="n">
        <v>0.2057</v>
      </c>
      <c r="H5" s="14" t="n">
        <v>14.075</v>
      </c>
      <c r="I5" s="14" t="n">
        <v>28.42</v>
      </c>
      <c r="J5" s="14" t="n">
        <v>25.66</v>
      </c>
      <c r="K5" s="2" t="s">
        <v>211</v>
      </c>
    </row>
    <row r="6" customFormat="false" ht="15" hidden="false" customHeight="false" outlineLevel="0" collapsed="false">
      <c r="A6" s="2" t="s">
        <v>212</v>
      </c>
      <c r="B6" s="2" t="n">
        <v>3</v>
      </c>
      <c r="C6" s="14" t="n">
        <v>271.02</v>
      </c>
      <c r="D6" s="14" t="n">
        <v>-215.144</v>
      </c>
      <c r="E6" s="14" t="n">
        <v>37.982</v>
      </c>
      <c r="F6" s="14" t="n">
        <v>0.1541</v>
      </c>
      <c r="G6" s="14" t="n">
        <v>0.1793</v>
      </c>
      <c r="H6" s="14" t="n">
        <v>14.935</v>
      </c>
      <c r="I6" s="14" t="n">
        <v>34.41</v>
      </c>
      <c r="J6" s="14" t="n">
        <v>17.34</v>
      </c>
      <c r="K6" s="2" t="s">
        <v>213</v>
      </c>
    </row>
    <row r="8" customFormat="false" ht="15" hidden="false" customHeight="false" outlineLevel="0" collapsed="false">
      <c r="A8" s="9" t="s">
        <v>214</v>
      </c>
    </row>
    <row r="9" customFormat="false" ht="23.85" hidden="false" customHeight="false" outlineLevel="0" collapsed="false">
      <c r="A9" s="3" t="s">
        <v>195</v>
      </c>
      <c r="B9" s="3" t="s">
        <v>196</v>
      </c>
      <c r="C9" s="3" t="s">
        <v>197</v>
      </c>
      <c r="D9" s="3" t="s">
        <v>198</v>
      </c>
      <c r="E9" s="3" t="s">
        <v>199</v>
      </c>
      <c r="F9" s="3" t="s">
        <v>200</v>
      </c>
      <c r="G9" s="3" t="s">
        <v>201</v>
      </c>
      <c r="H9" s="3" t="s">
        <v>202</v>
      </c>
      <c r="I9" s="3" t="s">
        <v>203</v>
      </c>
      <c r="J9" s="3" t="s">
        <v>204</v>
      </c>
      <c r="K9" s="3" t="s">
        <v>205</v>
      </c>
    </row>
    <row r="10" customFormat="false" ht="15" hidden="false" customHeight="false" outlineLevel="0" collapsed="false">
      <c r="A10" s="2" t="s">
        <v>206</v>
      </c>
      <c r="B10" s="2" t="n">
        <v>2</v>
      </c>
      <c r="C10" s="14" t="n">
        <v>321.297</v>
      </c>
      <c r="D10" s="14" t="n">
        <v>-240.283</v>
      </c>
      <c r="E10" s="14" t="n">
        <v>60.766</v>
      </c>
      <c r="F10" s="14" t="n">
        <v>0.0001</v>
      </c>
      <c r="G10" s="14" t="n">
        <v>0.256</v>
      </c>
      <c r="H10" s="14" t="n">
        <v>16.704</v>
      </c>
      <c r="I10" s="14" t="n">
        <v>41.97</v>
      </c>
      <c r="J10" s="14" t="n">
        <v>41.97</v>
      </c>
      <c r="K10" s="2" t="s">
        <v>215</v>
      </c>
    </row>
    <row r="11" customFormat="false" ht="15" hidden="false" customHeight="false" outlineLevel="0" collapsed="false">
      <c r="A11" s="2" t="s">
        <v>208</v>
      </c>
      <c r="B11" s="2" t="n">
        <v>3</v>
      </c>
      <c r="C11" s="14" t="n">
        <v>145.181</v>
      </c>
      <c r="D11" s="14" t="n">
        <v>-152.225</v>
      </c>
      <c r="E11" s="14" t="n">
        <v>42.952</v>
      </c>
      <c r="F11" s="14" t="n">
        <v>0.9093</v>
      </c>
      <c r="G11" s="14" t="n">
        <v>0.2696</v>
      </c>
      <c r="H11" s="14" t="n">
        <v>8.566</v>
      </c>
      <c r="I11" s="14" t="n">
        <v>35.01</v>
      </c>
      <c r="J11" s="14" t="n">
        <v>30.91</v>
      </c>
      <c r="K11" s="2" t="s">
        <v>216</v>
      </c>
    </row>
    <row r="12" customFormat="false" ht="15" hidden="false" customHeight="false" outlineLevel="0" collapsed="false">
      <c r="A12" s="2" t="s">
        <v>210</v>
      </c>
      <c r="B12" s="2" t="n">
        <v>3</v>
      </c>
      <c r="C12" s="14" t="n">
        <v>184.689</v>
      </c>
      <c r="D12" s="14" t="n">
        <v>-171.979</v>
      </c>
      <c r="E12" s="14" t="n">
        <v>47.564</v>
      </c>
      <c r="F12" s="14" t="n">
        <v>0.0906</v>
      </c>
      <c r="G12" s="14" t="n">
        <v>0.328</v>
      </c>
      <c r="H12" s="14" t="n">
        <v>11.171</v>
      </c>
      <c r="I12" s="14" t="n">
        <v>36.24</v>
      </c>
      <c r="J12" s="14" t="n">
        <v>36.24</v>
      </c>
      <c r="K12" s="2" t="s">
        <v>217</v>
      </c>
    </row>
    <row r="14" customFormat="false" ht="15" hidden="false" customHeight="false" outlineLevel="0" collapsed="false">
      <c r="A14" s="9" t="s">
        <v>218</v>
      </c>
    </row>
    <row r="15" customFormat="false" ht="15" hidden="false" customHeight="false" outlineLevel="0" collapsed="false">
      <c r="A15" s="3" t="s">
        <v>195</v>
      </c>
      <c r="B15" s="3" t="s">
        <v>219</v>
      </c>
      <c r="C15" s="3" t="s">
        <v>14</v>
      </c>
      <c r="D15" s="3" t="s">
        <v>220</v>
      </c>
      <c r="E15" s="3" t="s">
        <v>221</v>
      </c>
      <c r="F15" s="3" t="s">
        <v>222</v>
      </c>
      <c r="G15" s="3" t="s">
        <v>223</v>
      </c>
      <c r="H15" s="3" t="s">
        <v>224</v>
      </c>
    </row>
    <row r="16" customFormat="false" ht="15" hidden="false" customHeight="false" outlineLevel="0" collapsed="false">
      <c r="A16" s="2" t="s">
        <v>206</v>
      </c>
      <c r="B16" s="2" t="n">
        <v>3</v>
      </c>
      <c r="C16" s="2" t="n">
        <v>2028</v>
      </c>
      <c r="D16" s="15" t="n">
        <v>8849.84</v>
      </c>
      <c r="E16" s="15" t="n">
        <v>7914.25</v>
      </c>
      <c r="F16" s="15" t="n">
        <v>8847.75</v>
      </c>
      <c r="G16" s="15" t="n">
        <v>9964.55</v>
      </c>
      <c r="H16" s="15" t="n">
        <v>0.3911</v>
      </c>
    </row>
    <row r="17" customFormat="false" ht="15" hidden="false" customHeight="false" outlineLevel="0" collapsed="false">
      <c r="A17" s="2" t="s">
        <v>206</v>
      </c>
      <c r="B17" s="2" t="n">
        <v>5</v>
      </c>
      <c r="C17" s="2" t="n">
        <v>2030</v>
      </c>
      <c r="D17" s="15" t="n">
        <v>14662.9</v>
      </c>
      <c r="E17" s="15" t="n">
        <v>12829.5</v>
      </c>
      <c r="F17" s="15" t="n">
        <v>14654.6</v>
      </c>
      <c r="G17" s="15" t="n">
        <v>16852.1</v>
      </c>
      <c r="H17" s="15" t="n">
        <v>0.3911</v>
      </c>
    </row>
    <row r="18" customFormat="false" ht="15" hidden="false" customHeight="false" outlineLevel="0" collapsed="false">
      <c r="A18" s="2" t="s">
        <v>206</v>
      </c>
      <c r="B18" s="2" t="n">
        <v>7</v>
      </c>
      <c r="C18" s="2" t="n">
        <v>2032</v>
      </c>
      <c r="D18" s="15" t="n">
        <v>24294.4</v>
      </c>
      <c r="E18" s="15" t="n">
        <v>20833.8</v>
      </c>
      <c r="F18" s="15" t="n">
        <v>24292.7</v>
      </c>
      <c r="G18" s="15" t="n">
        <v>28574.7</v>
      </c>
      <c r="H18" s="15" t="n">
        <v>0.3911</v>
      </c>
    </row>
    <row r="19" customFormat="false" ht="15" hidden="false" customHeight="false" outlineLevel="0" collapsed="false">
      <c r="A19" s="2" t="s">
        <v>206</v>
      </c>
      <c r="B19" s="2" t="n">
        <v>10</v>
      </c>
      <c r="C19" s="2" t="n">
        <v>2035</v>
      </c>
      <c r="D19" s="15" t="n">
        <v>51812.3</v>
      </c>
      <c r="E19" s="15" t="n">
        <v>42940.7</v>
      </c>
      <c r="F19" s="15" t="n">
        <v>51844.3</v>
      </c>
      <c r="G19" s="15" t="n">
        <v>63169</v>
      </c>
      <c r="H19" s="15" t="n">
        <v>0.3911</v>
      </c>
    </row>
    <row r="20" customFormat="false" ht="15" hidden="false" customHeight="false" outlineLevel="0" collapsed="false">
      <c r="A20" s="2" t="s">
        <v>208</v>
      </c>
      <c r="B20" s="2" t="n">
        <v>3</v>
      </c>
      <c r="C20" s="2" t="n">
        <v>2028</v>
      </c>
      <c r="D20" s="15" t="n">
        <v>7258.31</v>
      </c>
      <c r="E20" s="15" t="n">
        <v>5148.23</v>
      </c>
      <c r="F20" s="15" t="n">
        <v>7224.85</v>
      </c>
      <c r="G20" s="15" t="n">
        <v>9846.7</v>
      </c>
      <c r="H20" s="15" t="n">
        <v>0.163</v>
      </c>
    </row>
    <row r="21" customFormat="false" ht="15" hidden="false" customHeight="false" outlineLevel="0" collapsed="false">
      <c r="A21" s="2" t="s">
        <v>208</v>
      </c>
      <c r="B21" s="2" t="n">
        <v>5</v>
      </c>
      <c r="C21" s="2" t="n">
        <v>2030</v>
      </c>
      <c r="D21" s="15" t="n">
        <v>9977.25</v>
      </c>
      <c r="E21" s="15" t="n">
        <v>6055.51</v>
      </c>
      <c r="F21" s="15" t="n">
        <v>9855.03</v>
      </c>
      <c r="G21" s="15" t="n">
        <v>16671.5</v>
      </c>
      <c r="H21" s="15" t="n">
        <v>0.163</v>
      </c>
    </row>
    <row r="22" customFormat="false" ht="15" hidden="false" customHeight="false" outlineLevel="0" collapsed="false">
      <c r="A22" s="2" t="s">
        <v>208</v>
      </c>
      <c r="B22" s="2" t="n">
        <v>7</v>
      </c>
      <c r="C22" s="2" t="n">
        <v>2032</v>
      </c>
      <c r="D22" s="15" t="n">
        <v>12770.1</v>
      </c>
      <c r="E22" s="15" t="n">
        <v>6724.54</v>
      </c>
      <c r="F22" s="15" t="n">
        <v>12489.6</v>
      </c>
      <c r="G22" s="15" t="n">
        <v>28272.5</v>
      </c>
      <c r="H22" s="15" t="n">
        <v>0.163</v>
      </c>
    </row>
    <row r="23" customFormat="false" ht="15" hidden="false" customHeight="false" outlineLevel="0" collapsed="false">
      <c r="A23" s="2" t="s">
        <v>208</v>
      </c>
      <c r="B23" s="2" t="n">
        <v>10</v>
      </c>
      <c r="C23" s="2" t="n">
        <v>2035</v>
      </c>
      <c r="D23" s="15" t="n">
        <v>16320.1</v>
      </c>
      <c r="E23" s="15" t="n">
        <v>7286.97</v>
      </c>
      <c r="F23" s="15" t="n">
        <v>15765.3</v>
      </c>
      <c r="G23" s="15" t="n">
        <v>62091</v>
      </c>
      <c r="H23" s="15" t="n">
        <v>0.163</v>
      </c>
    </row>
    <row r="24" customFormat="false" ht="15" hidden="false" customHeight="false" outlineLevel="0" collapsed="false">
      <c r="A24" s="2" t="s">
        <v>210</v>
      </c>
      <c r="B24" s="2" t="n">
        <v>3</v>
      </c>
      <c r="C24" s="2" t="n">
        <v>2028</v>
      </c>
      <c r="D24" s="15" t="n">
        <v>7783.23</v>
      </c>
      <c r="E24" s="15" t="n">
        <v>6254.99</v>
      </c>
      <c r="F24" s="15" t="n">
        <v>7756.48</v>
      </c>
      <c r="G24" s="15" t="n">
        <v>9573.66</v>
      </c>
      <c r="H24" s="15" t="n">
        <v>0.2918</v>
      </c>
    </row>
    <row r="25" customFormat="false" ht="15" hidden="false" customHeight="false" outlineLevel="0" collapsed="false">
      <c r="A25" s="2" t="s">
        <v>210</v>
      </c>
      <c r="B25" s="2" t="n">
        <v>5</v>
      </c>
      <c r="C25" s="2" t="n">
        <v>2030</v>
      </c>
      <c r="D25" s="15" t="n">
        <v>11907.1</v>
      </c>
      <c r="E25" s="15" t="n">
        <v>8887.55</v>
      </c>
      <c r="F25" s="15" t="n">
        <v>11855</v>
      </c>
      <c r="G25" s="15" t="n">
        <v>15791.9</v>
      </c>
      <c r="H25" s="15" t="n">
        <v>0.2918</v>
      </c>
    </row>
    <row r="26" customFormat="false" ht="15" hidden="false" customHeight="false" outlineLevel="0" collapsed="false">
      <c r="A26" s="2" t="s">
        <v>210</v>
      </c>
      <c r="B26" s="2" t="n">
        <v>7</v>
      </c>
      <c r="C26" s="2" t="n">
        <v>2032</v>
      </c>
      <c r="D26" s="15" t="n">
        <v>17963.2</v>
      </c>
      <c r="E26" s="15" t="n">
        <v>12298.2</v>
      </c>
      <c r="F26" s="15" t="n">
        <v>17825.6</v>
      </c>
      <c r="G26" s="15" t="n">
        <v>26151</v>
      </c>
      <c r="H26" s="15" t="n">
        <v>0.2918</v>
      </c>
    </row>
    <row r="27" customFormat="false" ht="15" hidden="false" customHeight="false" outlineLevel="0" collapsed="false">
      <c r="A27" s="2" t="s">
        <v>210</v>
      </c>
      <c r="B27" s="2" t="n">
        <v>10</v>
      </c>
      <c r="C27" s="2" t="n">
        <v>2035</v>
      </c>
      <c r="D27" s="15" t="n">
        <v>32456.6</v>
      </c>
      <c r="E27" s="15" t="n">
        <v>19084.1</v>
      </c>
      <c r="F27" s="15" t="n">
        <v>32159.1</v>
      </c>
      <c r="G27" s="15" t="n">
        <v>54723.8</v>
      </c>
      <c r="H27" s="15" t="n">
        <v>0.2918</v>
      </c>
    </row>
    <row r="28" customFormat="false" ht="15" hidden="false" customHeight="false" outlineLevel="0" collapsed="false">
      <c r="A28" s="2" t="s">
        <v>212</v>
      </c>
      <c r="B28" s="2" t="n">
        <v>3</v>
      </c>
      <c r="C28" s="2" t="n">
        <v>2028</v>
      </c>
      <c r="D28" s="15" t="n">
        <v>7304.06</v>
      </c>
      <c r="E28" s="15" t="n">
        <v>4703.4</v>
      </c>
      <c r="F28" s="15" t="n">
        <v>7297.55</v>
      </c>
      <c r="G28" s="15" t="n">
        <v>9812.4</v>
      </c>
      <c r="H28" s="15" t="n">
        <v>0.1541</v>
      </c>
    </row>
    <row r="29" customFormat="false" ht="15" hidden="false" customHeight="false" outlineLevel="0" collapsed="false">
      <c r="A29" s="2" t="s">
        <v>212</v>
      </c>
      <c r="B29" s="2" t="n">
        <v>5</v>
      </c>
      <c r="C29" s="2" t="n">
        <v>2030</v>
      </c>
      <c r="D29" s="15" t="n">
        <v>9871.3</v>
      </c>
      <c r="E29" s="15" t="n">
        <v>4661.66</v>
      </c>
      <c r="F29" s="15" t="n">
        <v>9756.3</v>
      </c>
      <c r="G29" s="15" t="n">
        <v>16600.5</v>
      </c>
      <c r="H29" s="15" t="n">
        <v>0.1541</v>
      </c>
    </row>
    <row r="30" customFormat="false" ht="15" hidden="false" customHeight="false" outlineLevel="0" collapsed="false">
      <c r="A30" s="2" t="s">
        <v>212</v>
      </c>
      <c r="B30" s="2" t="n">
        <v>7</v>
      </c>
      <c r="C30" s="2" t="n">
        <v>2032</v>
      </c>
      <c r="D30" s="15" t="n">
        <v>11950.3</v>
      </c>
      <c r="E30" s="15" t="n">
        <v>3964.49</v>
      </c>
      <c r="F30" s="15" t="n">
        <v>11583.7</v>
      </c>
      <c r="G30" s="15" t="n">
        <v>28094.4</v>
      </c>
      <c r="H30" s="15" t="n">
        <v>0.1541</v>
      </c>
    </row>
    <row r="31" customFormat="false" ht="15" hidden="false" customHeight="false" outlineLevel="0" collapsed="false">
      <c r="A31" s="2" t="s">
        <v>212</v>
      </c>
      <c r="B31" s="2" t="n">
        <v>10</v>
      </c>
      <c r="C31" s="2" t="n">
        <v>2035</v>
      </c>
      <c r="D31" s="15" t="n">
        <v>12381.4</v>
      </c>
      <c r="E31" s="15" t="n">
        <v>2371.5</v>
      </c>
      <c r="F31" s="15" t="n">
        <v>11729.1</v>
      </c>
      <c r="G31" s="15" t="n">
        <v>61760.2</v>
      </c>
      <c r="H31" s="15" t="n">
        <v>0.1541</v>
      </c>
    </row>
    <row r="32" customFormat="false" ht="15" hidden="false" customHeight="false" outlineLevel="0" collapsed="false">
      <c r="A32" s="2" t="s">
        <v>225</v>
      </c>
      <c r="B32" s="2" t="n">
        <v>3</v>
      </c>
      <c r="C32" s="2" t="n">
        <v>2028</v>
      </c>
      <c r="D32" s="15" t="n">
        <v>8174.39</v>
      </c>
      <c r="E32" s="15" t="n">
        <v>6231.84</v>
      </c>
      <c r="F32" s="15" t="n">
        <v>8174.39</v>
      </c>
      <c r="G32" s="15" t="n">
        <v>9304.26</v>
      </c>
      <c r="H32" s="15" t="n">
        <v>1</v>
      </c>
    </row>
    <row r="33" customFormat="false" ht="15" hidden="false" customHeight="false" outlineLevel="0" collapsed="false">
      <c r="A33" s="2" t="s">
        <v>225</v>
      </c>
      <c r="B33" s="2" t="n">
        <v>5</v>
      </c>
      <c r="C33" s="2" t="n">
        <v>2030</v>
      </c>
      <c r="D33" s="15" t="n">
        <v>13000.7</v>
      </c>
      <c r="E33" s="15" t="n">
        <v>8011.93</v>
      </c>
      <c r="F33" s="15" t="n">
        <v>13000.7</v>
      </c>
      <c r="G33" s="15" t="n">
        <v>15433.6</v>
      </c>
      <c r="H33" s="15" t="n">
        <v>1</v>
      </c>
    </row>
    <row r="34" customFormat="false" ht="15" hidden="false" customHeight="false" outlineLevel="0" collapsed="false">
      <c r="A34" s="2" t="s">
        <v>225</v>
      </c>
      <c r="B34" s="2" t="n">
        <v>7</v>
      </c>
      <c r="C34" s="2" t="n">
        <v>2032</v>
      </c>
      <c r="D34" s="15" t="n">
        <v>20437</v>
      </c>
      <c r="E34" s="15" t="n">
        <v>10038.1</v>
      </c>
      <c r="F34" s="15" t="n">
        <v>20437</v>
      </c>
      <c r="G34" s="15" t="n">
        <v>25668.1</v>
      </c>
      <c r="H34" s="15" t="n">
        <v>1</v>
      </c>
    </row>
    <row r="35" customFormat="false" ht="15" hidden="false" customHeight="false" outlineLevel="0" collapsed="false">
      <c r="A35" s="2" t="s">
        <v>225</v>
      </c>
      <c r="B35" s="2" t="n">
        <v>10</v>
      </c>
      <c r="C35" s="2" t="n">
        <v>2035</v>
      </c>
      <c r="D35" s="15" t="n">
        <v>40255.5</v>
      </c>
      <c r="E35" s="15" t="n">
        <v>13394.8</v>
      </c>
      <c r="F35" s="15" t="n">
        <v>40255.5</v>
      </c>
      <c r="G35" s="15" t="n">
        <v>55050.5</v>
      </c>
      <c r="H35" s="15" t="n">
        <v>1</v>
      </c>
    </row>
    <row r="37" customFormat="false" ht="15" hidden="false" customHeight="false" outlineLevel="0" collapsed="false">
      <c r="A37" s="9" t="s">
        <v>226</v>
      </c>
    </row>
    <row r="38" customFormat="false" ht="15" hidden="false" customHeight="false" outlineLevel="0" collapsed="false">
      <c r="A38" s="3" t="s">
        <v>195</v>
      </c>
      <c r="B38" s="3" t="s">
        <v>219</v>
      </c>
      <c r="C38" s="3" t="s">
        <v>14</v>
      </c>
      <c r="D38" s="3" t="s">
        <v>220</v>
      </c>
      <c r="E38" s="3" t="s">
        <v>221</v>
      </c>
      <c r="F38" s="3" t="s">
        <v>222</v>
      </c>
      <c r="G38" s="3" t="s">
        <v>223</v>
      </c>
      <c r="H38" s="3" t="s">
        <v>224</v>
      </c>
    </row>
    <row r="39" customFormat="false" ht="15" hidden="false" customHeight="false" outlineLevel="0" collapsed="false">
      <c r="A39" s="2" t="s">
        <v>206</v>
      </c>
      <c r="B39" s="2" t="n">
        <v>3</v>
      </c>
      <c r="C39" s="2" t="n">
        <v>2028</v>
      </c>
      <c r="D39" s="16" t="n">
        <v>16.4015</v>
      </c>
      <c r="E39" s="16" t="n">
        <v>14.6807</v>
      </c>
      <c r="F39" s="16" t="n">
        <v>16.3717</v>
      </c>
      <c r="G39" s="16" t="n">
        <v>18.1223</v>
      </c>
      <c r="H39" s="16" t="n">
        <v>0.0001</v>
      </c>
    </row>
    <row r="40" customFormat="false" ht="15" hidden="false" customHeight="false" outlineLevel="0" collapsed="false">
      <c r="A40" s="2" t="s">
        <v>206</v>
      </c>
      <c r="B40" s="2" t="n">
        <v>5</v>
      </c>
      <c r="C40" s="2" t="n">
        <v>2030</v>
      </c>
      <c r="D40" s="16" t="n">
        <v>24.1683</v>
      </c>
      <c r="E40" s="16" t="n">
        <v>21.2037</v>
      </c>
      <c r="F40" s="16" t="n">
        <v>24.1322</v>
      </c>
      <c r="G40" s="16" t="n">
        <v>27.1886</v>
      </c>
      <c r="H40" s="16" t="n">
        <v>0.0001</v>
      </c>
    </row>
    <row r="41" customFormat="false" ht="15" hidden="false" customHeight="false" outlineLevel="0" collapsed="false">
      <c r="A41" s="2" t="s">
        <v>206</v>
      </c>
      <c r="B41" s="2" t="n">
        <v>7</v>
      </c>
      <c r="C41" s="2" t="n">
        <v>2032</v>
      </c>
      <c r="D41" s="16" t="n">
        <v>35.613</v>
      </c>
      <c r="E41" s="16" t="n">
        <v>30.5711</v>
      </c>
      <c r="F41" s="16" t="n">
        <v>35.5651</v>
      </c>
      <c r="G41" s="16" t="n">
        <v>40.7259</v>
      </c>
      <c r="H41" s="16" t="n">
        <v>0.0001</v>
      </c>
    </row>
    <row r="42" customFormat="false" ht="15" hidden="false" customHeight="false" outlineLevel="0" collapsed="false">
      <c r="A42" s="2" t="s">
        <v>206</v>
      </c>
      <c r="B42" s="2" t="n">
        <v>10</v>
      </c>
      <c r="C42" s="2" t="n">
        <v>2035</v>
      </c>
      <c r="D42" s="16" t="n">
        <v>63.7018</v>
      </c>
      <c r="E42" s="16" t="n">
        <v>52.958</v>
      </c>
      <c r="F42" s="16" t="n">
        <v>63.609</v>
      </c>
      <c r="G42" s="16" t="n">
        <v>74.9931</v>
      </c>
      <c r="H42" s="16" t="n">
        <v>0.0001</v>
      </c>
    </row>
    <row r="43" customFormat="false" ht="15" hidden="false" customHeight="false" outlineLevel="0" collapsed="false">
      <c r="A43" s="2" t="s">
        <v>208</v>
      </c>
      <c r="B43" s="2" t="n">
        <v>3</v>
      </c>
      <c r="C43" s="2" t="n">
        <v>2028</v>
      </c>
      <c r="D43" s="16" t="n">
        <v>10.6038</v>
      </c>
      <c r="E43" s="16" t="n">
        <v>9.51152</v>
      </c>
      <c r="F43" s="16" t="n">
        <v>10.5732</v>
      </c>
      <c r="G43" s="16" t="n">
        <v>12.0295</v>
      </c>
      <c r="H43" s="16" t="n">
        <v>0.9093</v>
      </c>
    </row>
    <row r="44" customFormat="false" ht="15" hidden="false" customHeight="false" outlineLevel="0" collapsed="false">
      <c r="A44" s="2" t="s">
        <v>208</v>
      </c>
      <c r="B44" s="2" t="n">
        <v>5</v>
      </c>
      <c r="C44" s="2" t="n">
        <v>2030</v>
      </c>
      <c r="D44" s="16" t="n">
        <v>11.7182</v>
      </c>
      <c r="E44" s="16" t="n">
        <v>10.2392</v>
      </c>
      <c r="F44" s="16" t="n">
        <v>11.664</v>
      </c>
      <c r="G44" s="16" t="n">
        <v>13.8607</v>
      </c>
      <c r="H44" s="16" t="n">
        <v>0.9093</v>
      </c>
    </row>
    <row r="45" customFormat="false" ht="15" hidden="false" customHeight="false" outlineLevel="0" collapsed="false">
      <c r="A45" s="2" t="s">
        <v>208</v>
      </c>
      <c r="B45" s="2" t="n">
        <v>7</v>
      </c>
      <c r="C45" s="2" t="n">
        <v>2032</v>
      </c>
      <c r="D45" s="16" t="n">
        <v>12.488</v>
      </c>
      <c r="E45" s="16" t="n">
        <v>10.694</v>
      </c>
      <c r="F45" s="16" t="n">
        <v>12.4076</v>
      </c>
      <c r="G45" s="16" t="n">
        <v>15.2079</v>
      </c>
      <c r="H45" s="16" t="n">
        <v>0.9093</v>
      </c>
    </row>
    <row r="46" customFormat="false" ht="15" hidden="false" customHeight="false" outlineLevel="0" collapsed="false">
      <c r="A46" s="2" t="s">
        <v>208</v>
      </c>
      <c r="B46" s="2" t="n">
        <v>10</v>
      </c>
      <c r="C46" s="2" t="n">
        <v>2035</v>
      </c>
      <c r="D46" s="16" t="n">
        <v>13.1639</v>
      </c>
      <c r="E46" s="16" t="n">
        <v>11.0997</v>
      </c>
      <c r="F46" s="16" t="n">
        <v>13.0556</v>
      </c>
      <c r="G46" s="16" t="n">
        <v>16.6246</v>
      </c>
      <c r="H46" s="16" t="n">
        <v>0.9093</v>
      </c>
    </row>
    <row r="47" customFormat="false" ht="15" hidden="false" customHeight="false" outlineLevel="0" collapsed="false">
      <c r="A47" s="2" t="s">
        <v>210</v>
      </c>
      <c r="B47" s="2" t="n">
        <v>3</v>
      </c>
      <c r="C47" s="2" t="n">
        <v>2028</v>
      </c>
      <c r="D47" s="16" t="n">
        <v>12.9823</v>
      </c>
      <c r="E47" s="16" t="n">
        <v>11.7914</v>
      </c>
      <c r="F47" s="16" t="n">
        <v>13.0087</v>
      </c>
      <c r="G47" s="16" t="n">
        <v>14.2967</v>
      </c>
      <c r="H47" s="16" t="n">
        <v>0.0906</v>
      </c>
    </row>
    <row r="48" customFormat="false" ht="15" hidden="false" customHeight="false" outlineLevel="0" collapsed="false">
      <c r="A48" s="2" t="s">
        <v>210</v>
      </c>
      <c r="B48" s="2" t="n">
        <v>5</v>
      </c>
      <c r="C48" s="2" t="n">
        <v>2030</v>
      </c>
      <c r="D48" s="16" t="n">
        <v>16.6278</v>
      </c>
      <c r="E48" s="16" t="n">
        <v>14.6182</v>
      </c>
      <c r="F48" s="16" t="n">
        <v>16.6732</v>
      </c>
      <c r="G48" s="16" t="n">
        <v>18.9334</v>
      </c>
      <c r="H48" s="16" t="n">
        <v>0.0906</v>
      </c>
    </row>
    <row r="49" customFormat="false" ht="15" hidden="false" customHeight="false" outlineLevel="0" collapsed="false">
      <c r="A49" s="2" t="s">
        <v>210</v>
      </c>
      <c r="B49" s="2" t="n">
        <v>7</v>
      </c>
      <c r="C49" s="2" t="n">
        <v>2032</v>
      </c>
      <c r="D49" s="16" t="n">
        <v>20.8655</v>
      </c>
      <c r="E49" s="16" t="n">
        <v>17.7164</v>
      </c>
      <c r="F49" s="16" t="n">
        <v>20.9055</v>
      </c>
      <c r="G49" s="16" t="n">
        <v>24.6301</v>
      </c>
      <c r="H49" s="16" t="n">
        <v>0.0906</v>
      </c>
    </row>
    <row r="50" customFormat="false" ht="15" hidden="false" customHeight="false" outlineLevel="0" collapsed="false">
      <c r="A50" s="2" t="s">
        <v>210</v>
      </c>
      <c r="B50" s="2" t="n">
        <v>10</v>
      </c>
      <c r="C50" s="2" t="n">
        <v>2035</v>
      </c>
      <c r="D50" s="16" t="n">
        <v>28.3296</v>
      </c>
      <c r="E50" s="16" t="n">
        <v>22.7356</v>
      </c>
      <c r="F50" s="16" t="n">
        <v>28.4144</v>
      </c>
      <c r="G50" s="16" t="n">
        <v>35.4707</v>
      </c>
      <c r="H50" s="16" t="n">
        <v>0.0906</v>
      </c>
    </row>
    <row r="51" customFormat="false" ht="15" hidden="false" customHeight="false" outlineLevel="0" collapsed="false">
      <c r="A51" s="2" t="s">
        <v>225</v>
      </c>
      <c r="B51" s="2" t="n">
        <v>3</v>
      </c>
      <c r="C51" s="2" t="n">
        <v>2028</v>
      </c>
      <c r="D51" s="16" t="n">
        <v>12.5699</v>
      </c>
      <c r="E51" s="16" t="n">
        <v>10.854</v>
      </c>
      <c r="F51" s="16" t="n">
        <v>12.5699</v>
      </c>
      <c r="G51" s="16" t="n">
        <v>14.6035</v>
      </c>
      <c r="H51" s="16" t="n">
        <v>1</v>
      </c>
    </row>
    <row r="52" customFormat="false" ht="15" hidden="false" customHeight="false" outlineLevel="0" collapsed="false">
      <c r="A52" s="2" t="s">
        <v>225</v>
      </c>
      <c r="B52" s="2" t="n">
        <v>5</v>
      </c>
      <c r="C52" s="2" t="n">
        <v>2030</v>
      </c>
      <c r="D52" s="16" t="n">
        <v>15.7659</v>
      </c>
      <c r="E52" s="16" t="n">
        <v>12.484</v>
      </c>
      <c r="F52" s="16" t="n">
        <v>15.7659</v>
      </c>
      <c r="G52" s="16" t="n">
        <v>20.3107</v>
      </c>
      <c r="H52" s="16" t="n">
        <v>1</v>
      </c>
    </row>
    <row r="53" customFormat="false" ht="15" hidden="false" customHeight="false" outlineLevel="0" collapsed="false">
      <c r="A53" s="2" t="s">
        <v>225</v>
      </c>
      <c r="B53" s="2" t="n">
        <v>7</v>
      </c>
      <c r="C53" s="2" t="n">
        <v>2032</v>
      </c>
      <c r="D53" s="16" t="n">
        <v>19.4646</v>
      </c>
      <c r="E53" s="16" t="n">
        <v>13.969</v>
      </c>
      <c r="F53" s="16" t="n">
        <v>19.4646</v>
      </c>
      <c r="G53" s="16" t="n">
        <v>28.3312</v>
      </c>
      <c r="H53" s="16" t="n">
        <v>1</v>
      </c>
    </row>
    <row r="54" customFormat="false" ht="15" hidden="false" customHeight="false" outlineLevel="0" collapsed="false">
      <c r="A54" s="2" t="s">
        <v>225</v>
      </c>
      <c r="B54" s="2" t="n">
        <v>10</v>
      </c>
      <c r="C54" s="2" t="n">
        <v>2035</v>
      </c>
      <c r="D54" s="16" t="n">
        <v>26.3631</v>
      </c>
      <c r="E54" s="16" t="n">
        <v>16.0097</v>
      </c>
      <c r="F54" s="16" t="n">
        <v>26.3631</v>
      </c>
      <c r="G54" s="16" t="n">
        <v>46.8872</v>
      </c>
      <c r="H54" s="16" t="n">
        <v>1</v>
      </c>
    </row>
    <row r="56" customFormat="false" ht="15" hidden="false" customHeight="false" outlineLevel="0" collapsed="false">
      <c r="A56" s="11"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2026-08-27T21:27:30Z</dcterms:created>
  <dc:creator>openpyxl</dc:creator>
  <dc:description/>
  <dc:language>en-US</dc:language>
  <cp:lastModifiedBy/>
  <dcterms:modified xsi:type="dcterms:W3CDTF">2026-08-27T21:27:30Z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